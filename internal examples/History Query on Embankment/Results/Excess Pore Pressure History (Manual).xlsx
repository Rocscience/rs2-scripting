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anielWai\source\repos\rs2_python_client_library\internal examples\History Query on Embankment\Results\"/>
    </mc:Choice>
  </mc:AlternateContent>
  <xr:revisionPtr revIDLastSave="0" documentId="13_ncr:1_{1BC46599-BBE4-4087-A683-D12C8AB7A735}" xr6:coauthVersionLast="47" xr6:coauthVersionMax="47" xr10:uidLastSave="{00000000-0000-0000-0000-000000000000}"/>
  <bookViews>
    <workbookView xWindow="-120" yWindow="-120" windowWidth="29040" windowHeight="15720" xr2:uid="{EB2DA7A1-7DF2-4F08-A18D-FD6136017F0B}"/>
  </bookViews>
  <sheets>
    <sheet name="Raw Data" sheetId="4" r:id="rId1"/>
    <sheet name="Chart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38" i="4" l="1"/>
  <c r="AK37" i="4"/>
  <c r="AK36" i="4"/>
  <c r="AK35" i="4"/>
  <c r="AK34" i="4"/>
  <c r="AK33" i="4"/>
  <c r="AK32" i="4"/>
  <c r="AK31" i="4"/>
  <c r="AK30" i="4"/>
  <c r="AK29" i="4"/>
  <c r="AK28" i="4"/>
  <c r="AK27" i="4"/>
  <c r="AK26" i="4"/>
  <c r="AK25" i="4"/>
  <c r="AK24" i="4"/>
  <c r="AK23" i="4"/>
  <c r="AK22" i="4"/>
  <c r="AK21" i="4"/>
  <c r="AK20" i="4"/>
  <c r="AK19" i="4"/>
  <c r="AK18" i="4"/>
  <c r="AK17" i="4"/>
  <c r="AK16" i="4"/>
  <c r="AK15" i="4"/>
  <c r="AK14" i="4"/>
  <c r="AK13" i="4"/>
  <c r="AK12" i="4"/>
  <c r="AK11" i="4"/>
  <c r="AK10" i="4"/>
  <c r="AK9" i="4"/>
  <c r="AK8" i="4"/>
  <c r="AK7" i="4"/>
  <c r="AK6" i="4"/>
  <c r="AK5" i="4"/>
  <c r="AJ38" i="4"/>
  <c r="AJ37" i="4"/>
  <c r="AJ36" i="4"/>
  <c r="AJ35" i="4"/>
  <c r="AJ34" i="4"/>
  <c r="AJ33" i="4"/>
  <c r="AJ32" i="4"/>
  <c r="AJ31" i="4"/>
  <c r="AJ30" i="4"/>
  <c r="AJ29" i="4"/>
  <c r="AJ28" i="4"/>
  <c r="AJ27" i="4"/>
  <c r="AJ26" i="4"/>
  <c r="AJ25" i="4"/>
  <c r="AJ24" i="4"/>
  <c r="AJ23" i="4"/>
  <c r="AJ22" i="4"/>
  <c r="AJ21" i="4"/>
  <c r="AJ20" i="4"/>
  <c r="AJ19" i="4"/>
  <c r="AJ18" i="4"/>
  <c r="AJ17" i="4"/>
  <c r="AJ16" i="4"/>
  <c r="AJ15" i="4"/>
  <c r="AJ14" i="4"/>
  <c r="AJ13" i="4"/>
  <c r="AJ12" i="4"/>
  <c r="AJ11" i="4"/>
  <c r="AJ10" i="4"/>
  <c r="AJ9" i="4"/>
  <c r="AJ8" i="4"/>
  <c r="AJ7" i="4"/>
  <c r="AJ6" i="4"/>
  <c r="AJ5" i="4"/>
  <c r="AI38" i="4"/>
  <c r="AI37" i="4"/>
  <c r="AI36" i="4"/>
  <c r="AI35" i="4"/>
  <c r="AI34" i="4"/>
  <c r="AI33" i="4"/>
  <c r="AI32" i="4"/>
  <c r="AI31" i="4"/>
  <c r="AI30" i="4"/>
  <c r="AI29" i="4"/>
  <c r="AI28" i="4"/>
  <c r="AI27" i="4"/>
  <c r="AI26" i="4"/>
  <c r="AI25" i="4"/>
  <c r="AI24" i="4"/>
  <c r="AI23" i="4"/>
  <c r="AI22" i="4"/>
  <c r="AI21" i="4"/>
  <c r="AI20" i="4"/>
  <c r="AI19" i="4"/>
  <c r="AI18" i="4"/>
  <c r="AI17" i="4"/>
  <c r="AI16" i="4"/>
  <c r="AI15" i="4"/>
  <c r="AI14" i="4"/>
  <c r="AI13" i="4"/>
  <c r="AI12" i="4"/>
  <c r="AI11" i="4"/>
  <c r="AI10" i="4"/>
  <c r="AI9" i="4"/>
  <c r="AI8" i="4"/>
  <c r="AI7" i="4"/>
  <c r="AI6" i="4"/>
  <c r="AI5" i="4"/>
  <c r="AH13" i="4"/>
  <c r="AH38" i="4"/>
  <c r="AH37" i="4"/>
  <c r="AH36" i="4"/>
  <c r="AH35" i="4"/>
  <c r="AH34" i="4"/>
  <c r="AH33" i="4"/>
  <c r="AH32" i="4"/>
  <c r="AH31" i="4"/>
  <c r="AH30" i="4"/>
  <c r="AH29" i="4"/>
  <c r="AH28" i="4"/>
  <c r="AH27" i="4"/>
  <c r="AH26" i="4"/>
  <c r="AH25" i="4"/>
  <c r="AH24" i="4"/>
  <c r="AH23" i="4"/>
  <c r="AH22" i="4"/>
  <c r="AH21" i="4"/>
  <c r="AH20" i="4"/>
  <c r="AH19" i="4"/>
  <c r="AH18" i="4"/>
  <c r="AH17" i="4"/>
  <c r="AH16" i="4"/>
  <c r="AH15" i="4"/>
  <c r="AH14" i="4"/>
  <c r="AH12" i="4"/>
  <c r="AH11" i="4"/>
  <c r="AH10" i="4"/>
  <c r="AH9" i="4"/>
  <c r="AH8" i="4"/>
  <c r="AH7" i="4"/>
  <c r="AH6" i="4"/>
  <c r="AH5" i="4"/>
  <c r="AG36" i="4"/>
  <c r="AG37" i="4"/>
  <c r="AG38" i="4"/>
  <c r="AG35" i="4"/>
  <c r="AG32" i="4"/>
  <c r="AG33" i="4"/>
  <c r="AG34" i="4"/>
  <c r="AG31" i="4"/>
  <c r="AG28" i="4"/>
  <c r="AG29" i="4"/>
  <c r="AG30" i="4"/>
  <c r="AG27" i="4"/>
  <c r="AG20" i="4"/>
  <c r="AG21" i="4"/>
  <c r="AG22" i="4"/>
  <c r="AG23" i="4"/>
  <c r="AG24" i="4"/>
  <c r="AG25" i="4"/>
  <c r="AG26" i="4"/>
  <c r="AG19" i="4"/>
  <c r="AF19" i="4"/>
  <c r="AG15" i="4"/>
  <c r="AG16" i="4"/>
  <c r="AG17" i="4"/>
  <c r="AG18" i="4"/>
  <c r="AG14" i="4"/>
  <c r="AG10" i="4"/>
  <c r="AG11" i="4"/>
  <c r="AG12" i="4"/>
  <c r="AG13" i="4"/>
  <c r="AG9" i="4"/>
  <c r="AG6" i="4"/>
  <c r="AG7" i="4"/>
  <c r="AG8" i="4"/>
  <c r="AG5" i="4"/>
  <c r="AF36" i="4"/>
  <c r="AF37" i="4"/>
  <c r="AF38" i="4"/>
  <c r="AF35" i="4"/>
  <c r="AF32" i="4"/>
  <c r="AF33" i="4"/>
  <c r="AF34" i="4"/>
  <c r="AF31" i="4"/>
  <c r="AF28" i="4"/>
  <c r="AF29" i="4"/>
  <c r="AF30" i="4"/>
  <c r="AF27" i="4"/>
  <c r="AF20" i="4"/>
  <c r="AF21" i="4"/>
  <c r="AF22" i="4"/>
  <c r="AF23" i="4"/>
  <c r="AF24" i="4"/>
  <c r="AF25" i="4"/>
  <c r="AF26" i="4"/>
  <c r="AF15" i="4"/>
  <c r="AF16" i="4"/>
  <c r="AF17" i="4"/>
  <c r="AF18" i="4"/>
  <c r="AF14" i="4"/>
  <c r="AF10" i="4"/>
  <c r="AF11" i="4"/>
  <c r="AF12" i="4"/>
  <c r="AF13" i="4"/>
  <c r="AF9" i="4"/>
  <c r="AF6" i="4"/>
  <c r="AF7" i="4"/>
  <c r="AF8" i="4"/>
  <c r="AF5" i="4"/>
  <c r="AC56" i="4"/>
  <c r="AC55" i="4"/>
  <c r="AC54" i="4"/>
  <c r="AC53" i="4"/>
  <c r="AC49" i="4"/>
  <c r="AC48" i="4"/>
  <c r="AC47" i="4"/>
  <c r="AC46" i="4"/>
  <c r="AC42" i="4"/>
  <c r="AC41" i="4"/>
  <c r="AC40" i="4"/>
  <c r="AC39" i="4"/>
  <c r="AC35" i="4"/>
  <c r="AC34" i="4"/>
  <c r="AC33" i="4"/>
  <c r="AC32" i="4"/>
  <c r="AC31" i="4"/>
  <c r="AC30" i="4"/>
  <c r="AC29" i="4"/>
  <c r="AC28" i="4"/>
  <c r="AC24" i="4"/>
  <c r="AC23" i="4"/>
  <c r="AC22" i="4"/>
  <c r="AC21" i="4"/>
  <c r="AC20" i="4"/>
  <c r="AC16" i="4"/>
  <c r="AC15" i="4"/>
  <c r="AC14" i="4"/>
  <c r="AC13" i="4"/>
  <c r="AC12" i="4"/>
  <c r="AC8" i="4"/>
  <c r="AC7" i="4"/>
  <c r="AC6" i="4"/>
  <c r="AC5" i="4"/>
  <c r="W56" i="4"/>
  <c r="W55" i="4"/>
  <c r="W54" i="4"/>
  <c r="W53" i="4"/>
  <c r="W49" i="4"/>
  <c r="W48" i="4"/>
  <c r="W47" i="4"/>
  <c r="W46" i="4"/>
  <c r="W42" i="4"/>
  <c r="W41" i="4"/>
  <c r="W40" i="4"/>
  <c r="W39" i="4"/>
  <c r="W35" i="4"/>
  <c r="W34" i="4"/>
  <c r="W33" i="4"/>
  <c r="W32" i="4"/>
  <c r="W31" i="4"/>
  <c r="W30" i="4"/>
  <c r="W29" i="4"/>
  <c r="W28" i="4"/>
  <c r="W24" i="4"/>
  <c r="W23" i="4"/>
  <c r="W22" i="4"/>
  <c r="W21" i="4"/>
  <c r="W20" i="4"/>
  <c r="W16" i="4"/>
  <c r="W15" i="4"/>
  <c r="W14" i="4"/>
  <c r="W13" i="4"/>
  <c r="W12" i="4"/>
  <c r="W8" i="4"/>
  <c r="W7" i="4"/>
  <c r="W6" i="4"/>
  <c r="W5" i="4"/>
  <c r="Q56" i="4"/>
  <c r="Q55" i="4"/>
  <c r="Q54" i="4"/>
  <c r="Q53" i="4"/>
  <c r="Q49" i="4"/>
  <c r="Q48" i="4"/>
  <c r="Q47" i="4"/>
  <c r="Q46" i="4"/>
  <c r="Q42" i="4"/>
  <c r="Q41" i="4"/>
  <c r="Q40" i="4"/>
  <c r="Q39" i="4"/>
  <c r="Q35" i="4"/>
  <c r="Q34" i="4"/>
  <c r="Q33" i="4"/>
  <c r="Q32" i="4"/>
  <c r="Q31" i="4"/>
  <c r="Q30" i="4"/>
  <c r="Q29" i="4"/>
  <c r="Q28" i="4"/>
  <c r="Q24" i="4"/>
  <c r="Q23" i="4"/>
  <c r="Q22" i="4"/>
  <c r="Q21" i="4"/>
  <c r="Q20" i="4"/>
  <c r="Q16" i="4"/>
  <c r="Q15" i="4"/>
  <c r="Q14" i="4"/>
  <c r="Q13" i="4"/>
  <c r="Q12" i="4"/>
  <c r="Q8" i="4"/>
  <c r="Q7" i="4"/>
  <c r="Q6" i="4"/>
  <c r="Q5" i="4"/>
  <c r="K56" i="4"/>
  <c r="K55" i="4"/>
  <c r="K54" i="4"/>
  <c r="K53" i="4"/>
  <c r="K49" i="4"/>
  <c r="K48" i="4"/>
  <c r="K47" i="4"/>
  <c r="K46" i="4"/>
  <c r="K42" i="4"/>
  <c r="K41" i="4"/>
  <c r="K40" i="4"/>
  <c r="K39" i="4"/>
  <c r="K35" i="4"/>
  <c r="K34" i="4"/>
  <c r="K33" i="4"/>
  <c r="K32" i="4"/>
  <c r="K31" i="4"/>
  <c r="K30" i="4"/>
  <c r="K29" i="4"/>
  <c r="K28" i="4"/>
  <c r="K24" i="4"/>
  <c r="K23" i="4"/>
  <c r="K22" i="4"/>
  <c r="K21" i="4"/>
  <c r="K20" i="4"/>
  <c r="K16" i="4"/>
  <c r="K15" i="4"/>
  <c r="K14" i="4"/>
  <c r="K13" i="4"/>
  <c r="K12" i="4"/>
  <c r="K8" i="4"/>
  <c r="K7" i="4"/>
  <c r="K6" i="4"/>
  <c r="K5" i="4"/>
  <c r="E54" i="4"/>
  <c r="E55" i="4"/>
  <c r="E56" i="4"/>
  <c r="E47" i="4"/>
  <c r="E48" i="4"/>
  <c r="E49" i="4"/>
  <c r="E40" i="4"/>
  <c r="E41" i="4"/>
  <c r="E42" i="4"/>
  <c r="E29" i="4"/>
  <c r="E30" i="4"/>
  <c r="E31" i="4"/>
  <c r="E32" i="4"/>
  <c r="E33" i="4"/>
  <c r="E34" i="4"/>
  <c r="E35" i="4"/>
  <c r="E21" i="4"/>
  <c r="E22" i="4"/>
  <c r="E23" i="4"/>
  <c r="E24" i="4"/>
  <c r="E13" i="4"/>
  <c r="E14" i="4"/>
  <c r="E15" i="4"/>
  <c r="E16" i="4"/>
  <c r="E53" i="4"/>
  <c r="E46" i="4"/>
  <c r="E39" i="4"/>
  <c r="E28" i="4"/>
  <c r="E20" i="4"/>
  <c r="E12" i="4"/>
  <c r="E6" i="4"/>
  <c r="E7" i="4"/>
  <c r="E8" i="4"/>
  <c r="E5" i="4"/>
</calcChain>
</file>

<file path=xl/sharedStrings.xml><?xml version="1.0" encoding="utf-8"?>
<sst xmlns="http://schemas.openxmlformats.org/spreadsheetml/2006/main" count="223" uniqueCount="47">
  <si>
    <t>History Query Pore Pressure</t>
  </si>
  <si>
    <t>X</t>
  </si>
  <si>
    <t>HQ 1 Stage 2</t>
  </si>
  <si>
    <t>HQ 1 Stage 3</t>
  </si>
  <si>
    <t>HQ 1 Stage 4</t>
  </si>
  <si>
    <t>HQ 1 Stage 5</t>
  </si>
  <si>
    <t>HQ 1 Stage 6</t>
  </si>
  <si>
    <t>HQ 1 Stage 7</t>
  </si>
  <si>
    <t>HQ 1 Stage 8</t>
  </si>
  <si>
    <t>Excess Pore Pressure [kPa]</t>
  </si>
  <si>
    <t xml:space="preserve"> Y</t>
  </si>
  <si>
    <t xml:space="preserve"> Stage Time</t>
  </si>
  <si>
    <t xml:space="preserve"> Pore Pressure [kPa]</t>
  </si>
  <si>
    <t>HQ 2 Stage 2</t>
  </si>
  <si>
    <t>HQ 2 Stage 3</t>
  </si>
  <si>
    <t>HQ 2 Stage 4</t>
  </si>
  <si>
    <t>HQ 2 Stage 5</t>
  </si>
  <si>
    <t>HQ 2 Stage 6</t>
  </si>
  <si>
    <t>HQ 2 Stage 7</t>
  </si>
  <si>
    <t>HQ 2 Stage 8</t>
  </si>
  <si>
    <t>HQ 3 Stage 2</t>
  </si>
  <si>
    <t>HQ 3 Stage 3</t>
  </si>
  <si>
    <t>HQ 3 Stage 4</t>
  </si>
  <si>
    <t>HQ 3 Stage 5</t>
  </si>
  <si>
    <t>HQ 3 Stage 6</t>
  </si>
  <si>
    <t>HQ 3 Stage 7</t>
  </si>
  <si>
    <t>HQ 3 Stage 8</t>
  </si>
  <si>
    <t>HQ 4 Stage 2</t>
  </si>
  <si>
    <t>HQ 4 Stage 3</t>
  </si>
  <si>
    <t>HQ 4 Stage 4</t>
  </si>
  <si>
    <t>HQ 4 Stage 5</t>
  </si>
  <si>
    <t>HQ 4 Stage 6</t>
  </si>
  <si>
    <t>HQ 4 Stage 7</t>
  </si>
  <si>
    <t>HQ 4 Stage 8</t>
  </si>
  <si>
    <t>HQ 5 Stage 2</t>
  </si>
  <si>
    <t>HQ 5 Stage 3</t>
  </si>
  <si>
    <t>HQ 5 Stage 4</t>
  </si>
  <si>
    <t>HQ 5 Stage 5</t>
  </si>
  <si>
    <t>HQ 5 Stage 6</t>
  </si>
  <si>
    <t>HQ 5 Stage 7</t>
  </si>
  <si>
    <t>HQ 5 Stage 8</t>
  </si>
  <si>
    <t>Processed Data</t>
  </si>
  <si>
    <t>HQ 1</t>
  </si>
  <si>
    <t>HQ 2</t>
  </si>
  <si>
    <t>HQ 3</t>
  </si>
  <si>
    <t>HQ 4</t>
  </si>
  <si>
    <t>HQ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</si>
</sst>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1" fillId="0" borderId="0" xfId="0" applyNumberFormat="1" applyFont="1"/>
    <xf numFmtId="0" fontId="1" fillId="0" borderId="0" xfId="0" applyFont="1"/>
    <xf numFmtId="1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Excess Pore Pressure History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'Raw Data'!$AG$4</c:f>
              <c:strCache>
                <c:ptCount val="1"/>
                <c:pt idx="0">
                  <c:v>HQ 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'Raw Data'!$AF$5:$AF$38</c:f>
              <c:numCache>
                <c:formatCode>General</c:formatCode>
                <c:ptCount val="34"/>
                <c:pt idx="0">
                  <c:v>0</c:v>
                </c:pt>
                <c:pt idx="1">
                  <c:v>0.33333299999999999</c:v>
                </c:pt>
                <c:pt idx="2">
                  <c:v>0.66666700000000001</c:v>
                </c:pt>
                <c:pt idx="3">
                  <c:v>1</c:v>
                </c:pt>
                <c:pt idx="4">
                  <c:v>1</c:v>
                </c:pt>
                <c:pt idx="5">
                  <c:v>3.01932</c:v>
                </c:pt>
                <c:pt idx="6">
                  <c:v>5.0386499999999996</c:v>
                </c:pt>
                <c:pt idx="7">
                  <c:v>8.0386500000000005</c:v>
                </c:pt>
                <c:pt idx="8">
                  <c:v>10</c:v>
                </c:pt>
                <c:pt idx="9">
                  <c:v>10</c:v>
                </c:pt>
                <c:pt idx="10">
                  <c:v>12.019299999999999</c:v>
                </c:pt>
                <c:pt idx="11">
                  <c:v>14.038600000000001</c:v>
                </c:pt>
                <c:pt idx="12">
                  <c:v>17.372</c:v>
                </c:pt>
                <c:pt idx="13">
                  <c:v>20</c:v>
                </c:pt>
                <c:pt idx="14">
                  <c:v>20</c:v>
                </c:pt>
                <c:pt idx="15">
                  <c:v>22.019300000000001</c:v>
                </c:pt>
                <c:pt idx="16">
                  <c:v>24.038599999999999</c:v>
                </c:pt>
                <c:pt idx="17">
                  <c:v>31.372199999999999</c:v>
                </c:pt>
                <c:pt idx="18">
                  <c:v>38.7057</c:v>
                </c:pt>
                <c:pt idx="19">
                  <c:v>46.039200000000001</c:v>
                </c:pt>
                <c:pt idx="20">
                  <c:v>59.372500000000002</c:v>
                </c:pt>
                <c:pt idx="21">
                  <c:v>60</c:v>
                </c:pt>
                <c:pt idx="22">
                  <c:v>60</c:v>
                </c:pt>
                <c:pt idx="23">
                  <c:v>60.333300000000001</c:v>
                </c:pt>
                <c:pt idx="24">
                  <c:v>60.666699999999999</c:v>
                </c:pt>
                <c:pt idx="25">
                  <c:v>61</c:v>
                </c:pt>
                <c:pt idx="26">
                  <c:v>61</c:v>
                </c:pt>
                <c:pt idx="27">
                  <c:v>61.333300000000001</c:v>
                </c:pt>
                <c:pt idx="28">
                  <c:v>61.666699999999999</c:v>
                </c:pt>
                <c:pt idx="29">
                  <c:v>62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</c:numCache>
            </c:numRef>
          </c:xVal>
          <c:yVal>
            <c:numRef>
              <c:f>'Raw Data'!$AG$5:$AG$38</c:f>
              <c:numCache>
                <c:formatCode>General</c:formatCode>
                <c:ptCount val="34"/>
                <c:pt idx="0">
                  <c:v>0</c:v>
                </c:pt>
                <c:pt idx="1">
                  <c:v>12.920700000000004</c:v>
                </c:pt>
                <c:pt idx="2">
                  <c:v>12.577700000000004</c:v>
                </c:pt>
                <c:pt idx="3">
                  <c:v>10.885300000000001</c:v>
                </c:pt>
                <c:pt idx="4">
                  <c:v>10.885300000000001</c:v>
                </c:pt>
                <c:pt idx="5">
                  <c:v>11.678100000000001</c:v>
                </c:pt>
                <c:pt idx="6">
                  <c:v>6.0167000000000002</c:v>
                </c:pt>
                <c:pt idx="7">
                  <c:v>3.0571000000000055</c:v>
                </c:pt>
                <c:pt idx="8">
                  <c:v>2.1283999999999992</c:v>
                </c:pt>
                <c:pt idx="9">
                  <c:v>2.1283999999999992</c:v>
                </c:pt>
                <c:pt idx="10">
                  <c:v>7.4708000000000006</c:v>
                </c:pt>
                <c:pt idx="11">
                  <c:v>4.580600000000004</c:v>
                </c:pt>
                <c:pt idx="12">
                  <c:v>2.5564000000000036</c:v>
                </c:pt>
                <c:pt idx="13">
                  <c:v>1.8045000000000044</c:v>
                </c:pt>
                <c:pt idx="14">
                  <c:v>1.8045000000000044</c:v>
                </c:pt>
                <c:pt idx="15">
                  <c:v>6.9403000000000006</c:v>
                </c:pt>
                <c:pt idx="16">
                  <c:v>4.6343000000000032</c:v>
                </c:pt>
                <c:pt idx="17">
                  <c:v>2.0010000000000048</c:v>
                </c:pt>
                <c:pt idx="18">
                  <c:v>1.1540000000000035</c:v>
                </c:pt>
                <c:pt idx="19">
                  <c:v>0.79390000000000072</c:v>
                </c:pt>
                <c:pt idx="20">
                  <c:v>0.4953000000000003</c:v>
                </c:pt>
                <c:pt idx="21">
                  <c:v>0.48210000000000264</c:v>
                </c:pt>
                <c:pt idx="22">
                  <c:v>0.48210000000000264</c:v>
                </c:pt>
                <c:pt idx="23">
                  <c:v>0.47490000000000521</c:v>
                </c:pt>
                <c:pt idx="24">
                  <c:v>0.46800000000000352</c:v>
                </c:pt>
                <c:pt idx="25">
                  <c:v>0.46130000000000138</c:v>
                </c:pt>
                <c:pt idx="26">
                  <c:v>0.46130000000000138</c:v>
                </c:pt>
                <c:pt idx="27">
                  <c:v>0.45490000000000208</c:v>
                </c:pt>
                <c:pt idx="28">
                  <c:v>0.44850000000000279</c:v>
                </c:pt>
                <c:pt idx="29">
                  <c:v>0.44230000000000302</c:v>
                </c:pt>
                <c:pt idx="30">
                  <c:v>0.44230000000000302</c:v>
                </c:pt>
                <c:pt idx="31">
                  <c:v>0.42470000000000141</c:v>
                </c:pt>
                <c:pt idx="32">
                  <c:v>0.40810000000000457</c:v>
                </c:pt>
                <c:pt idx="33">
                  <c:v>0.39229999999999876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BD8-4A25-914A-C0F614BABBD7}"/>
            </c:ext>
          </c:extLst>
        </c:ser>
        <c:ser>
          <c:idx val="1"/>
          <c:order val="1"/>
          <c:tx>
            <c:strRef>
              <c:f>'Raw Data'!$AH$4</c:f>
              <c:strCache>
                <c:ptCount val="1"/>
                <c:pt idx="0">
                  <c:v>HQ 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'Raw Data'!$AF$5:$AF$38</c:f>
              <c:numCache>
                <c:formatCode>General</c:formatCode>
                <c:ptCount val="34"/>
                <c:pt idx="0">
                  <c:v>0</c:v>
                </c:pt>
                <c:pt idx="1">
                  <c:v>0.33333299999999999</c:v>
                </c:pt>
                <c:pt idx="2">
                  <c:v>0.66666700000000001</c:v>
                </c:pt>
                <c:pt idx="3">
                  <c:v>1</c:v>
                </c:pt>
                <c:pt idx="4">
                  <c:v>1</c:v>
                </c:pt>
                <c:pt idx="5">
                  <c:v>3.01932</c:v>
                </c:pt>
                <c:pt idx="6">
                  <c:v>5.0386499999999996</c:v>
                </c:pt>
                <c:pt idx="7">
                  <c:v>8.0386500000000005</c:v>
                </c:pt>
                <c:pt idx="8">
                  <c:v>10</c:v>
                </c:pt>
                <c:pt idx="9">
                  <c:v>10</c:v>
                </c:pt>
                <c:pt idx="10">
                  <c:v>12.019299999999999</c:v>
                </c:pt>
                <c:pt idx="11">
                  <c:v>14.038600000000001</c:v>
                </c:pt>
                <c:pt idx="12">
                  <c:v>17.372</c:v>
                </c:pt>
                <c:pt idx="13">
                  <c:v>20</c:v>
                </c:pt>
                <c:pt idx="14">
                  <c:v>20</c:v>
                </c:pt>
                <c:pt idx="15">
                  <c:v>22.019300000000001</c:v>
                </c:pt>
                <c:pt idx="16">
                  <c:v>24.038599999999999</c:v>
                </c:pt>
                <c:pt idx="17">
                  <c:v>31.372199999999999</c:v>
                </c:pt>
                <c:pt idx="18">
                  <c:v>38.7057</c:v>
                </c:pt>
                <c:pt idx="19">
                  <c:v>46.039200000000001</c:v>
                </c:pt>
                <c:pt idx="20">
                  <c:v>59.372500000000002</c:v>
                </c:pt>
                <c:pt idx="21">
                  <c:v>60</c:v>
                </c:pt>
                <c:pt idx="22">
                  <c:v>60</c:v>
                </c:pt>
                <c:pt idx="23">
                  <c:v>60.333300000000001</c:v>
                </c:pt>
                <c:pt idx="24">
                  <c:v>60.666699999999999</c:v>
                </c:pt>
                <c:pt idx="25">
                  <c:v>61</c:v>
                </c:pt>
                <c:pt idx="26">
                  <c:v>61</c:v>
                </c:pt>
                <c:pt idx="27">
                  <c:v>61.333300000000001</c:v>
                </c:pt>
                <c:pt idx="28">
                  <c:v>61.666699999999999</c:v>
                </c:pt>
                <c:pt idx="29">
                  <c:v>62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</c:numCache>
            </c:numRef>
          </c:xVal>
          <c:yVal>
            <c:numRef>
              <c:f>'Raw Data'!$AH$5:$AH$38</c:f>
              <c:numCache>
                <c:formatCode>General</c:formatCode>
                <c:ptCount val="34"/>
                <c:pt idx="0">
                  <c:v>0</c:v>
                </c:pt>
                <c:pt idx="1">
                  <c:v>19.64228</c:v>
                </c:pt>
                <c:pt idx="2">
                  <c:v>16.628399999999999</c:v>
                </c:pt>
                <c:pt idx="3">
                  <c:v>13.6754</c:v>
                </c:pt>
                <c:pt idx="4">
                  <c:v>13.6754</c:v>
                </c:pt>
                <c:pt idx="5">
                  <c:v>14.4129</c:v>
                </c:pt>
                <c:pt idx="6">
                  <c:v>7.2299000000000007</c:v>
                </c:pt>
                <c:pt idx="7">
                  <c:v>3.6538000000000004</c:v>
                </c:pt>
                <c:pt idx="8">
                  <c:v>2.5383999999999993</c:v>
                </c:pt>
                <c:pt idx="9">
                  <c:v>2.5383999999999993</c:v>
                </c:pt>
                <c:pt idx="10">
                  <c:v>9.4797000000000011</c:v>
                </c:pt>
                <c:pt idx="11">
                  <c:v>5.5484000000000009</c:v>
                </c:pt>
                <c:pt idx="12">
                  <c:v>3.0433999999999983</c:v>
                </c:pt>
                <c:pt idx="13">
                  <c:v>2.1283999999999992</c:v>
                </c:pt>
                <c:pt idx="14">
                  <c:v>2.1283999999999992</c:v>
                </c:pt>
                <c:pt idx="15">
                  <c:v>8.8703000000000003</c:v>
                </c:pt>
                <c:pt idx="16">
                  <c:v>5.6590999999999987</c:v>
                </c:pt>
                <c:pt idx="17">
                  <c:v>2.3684000000000012</c:v>
                </c:pt>
                <c:pt idx="18">
                  <c:v>1.3381000000000007</c:v>
                </c:pt>
                <c:pt idx="19">
                  <c:v>0.90899999999999892</c:v>
                </c:pt>
                <c:pt idx="20">
                  <c:v>0.56099999999999994</c:v>
                </c:pt>
                <c:pt idx="21">
                  <c:v>0.54570000000000007</c:v>
                </c:pt>
                <c:pt idx="22">
                  <c:v>0.54570000000000007</c:v>
                </c:pt>
                <c:pt idx="23">
                  <c:v>0.5373999999999981</c:v>
                </c:pt>
                <c:pt idx="24">
                  <c:v>0.52949999999999875</c:v>
                </c:pt>
                <c:pt idx="25">
                  <c:v>0.52169999999999916</c:v>
                </c:pt>
                <c:pt idx="26">
                  <c:v>0.52169999999999916</c:v>
                </c:pt>
                <c:pt idx="27">
                  <c:v>0.51419999999999888</c:v>
                </c:pt>
                <c:pt idx="28">
                  <c:v>0.50689999999999813</c:v>
                </c:pt>
                <c:pt idx="29">
                  <c:v>0.4997000000000007</c:v>
                </c:pt>
                <c:pt idx="30">
                  <c:v>0.4997000000000007</c:v>
                </c:pt>
                <c:pt idx="31">
                  <c:v>0.47929999999999851</c:v>
                </c:pt>
                <c:pt idx="32">
                  <c:v>0.46020000000000039</c:v>
                </c:pt>
                <c:pt idx="33">
                  <c:v>0.44200000000000017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BD8-4A25-914A-C0F614BABBD7}"/>
            </c:ext>
          </c:extLst>
        </c:ser>
        <c:ser>
          <c:idx val="2"/>
          <c:order val="2"/>
          <c:tx>
            <c:strRef>
              <c:f>'Raw Data'!$AI$4</c:f>
              <c:strCache>
                <c:ptCount val="1"/>
                <c:pt idx="0">
                  <c:v>HQ 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'Raw Data'!$AF$5:$AF$38</c:f>
              <c:numCache>
                <c:formatCode>General</c:formatCode>
                <c:ptCount val="34"/>
                <c:pt idx="0">
                  <c:v>0</c:v>
                </c:pt>
                <c:pt idx="1">
                  <c:v>0.33333299999999999</c:v>
                </c:pt>
                <c:pt idx="2">
                  <c:v>0.66666700000000001</c:v>
                </c:pt>
                <c:pt idx="3">
                  <c:v>1</c:v>
                </c:pt>
                <c:pt idx="4">
                  <c:v>1</c:v>
                </c:pt>
                <c:pt idx="5">
                  <c:v>3.01932</c:v>
                </c:pt>
                <c:pt idx="6">
                  <c:v>5.0386499999999996</c:v>
                </c:pt>
                <c:pt idx="7">
                  <c:v>8.0386500000000005</c:v>
                </c:pt>
                <c:pt idx="8">
                  <c:v>10</c:v>
                </c:pt>
                <c:pt idx="9">
                  <c:v>10</c:v>
                </c:pt>
                <c:pt idx="10">
                  <c:v>12.019299999999999</c:v>
                </c:pt>
                <c:pt idx="11">
                  <c:v>14.038600000000001</c:v>
                </c:pt>
                <c:pt idx="12">
                  <c:v>17.372</c:v>
                </c:pt>
                <c:pt idx="13">
                  <c:v>20</c:v>
                </c:pt>
                <c:pt idx="14">
                  <c:v>20</c:v>
                </c:pt>
                <c:pt idx="15">
                  <c:v>22.019300000000001</c:v>
                </c:pt>
                <c:pt idx="16">
                  <c:v>24.038599999999999</c:v>
                </c:pt>
                <c:pt idx="17">
                  <c:v>31.372199999999999</c:v>
                </c:pt>
                <c:pt idx="18">
                  <c:v>38.7057</c:v>
                </c:pt>
                <c:pt idx="19">
                  <c:v>46.039200000000001</c:v>
                </c:pt>
                <c:pt idx="20">
                  <c:v>59.372500000000002</c:v>
                </c:pt>
                <c:pt idx="21">
                  <c:v>60</c:v>
                </c:pt>
                <c:pt idx="22">
                  <c:v>60</c:v>
                </c:pt>
                <c:pt idx="23">
                  <c:v>60.333300000000001</c:v>
                </c:pt>
                <c:pt idx="24">
                  <c:v>60.666699999999999</c:v>
                </c:pt>
                <c:pt idx="25">
                  <c:v>61</c:v>
                </c:pt>
                <c:pt idx="26">
                  <c:v>61</c:v>
                </c:pt>
                <c:pt idx="27">
                  <c:v>61.333300000000001</c:v>
                </c:pt>
                <c:pt idx="28">
                  <c:v>61.666699999999999</c:v>
                </c:pt>
                <c:pt idx="29">
                  <c:v>62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</c:numCache>
            </c:numRef>
          </c:xVal>
          <c:yVal>
            <c:numRef>
              <c:f>'Raw Data'!$AI$5:$AI$38</c:f>
              <c:numCache>
                <c:formatCode>General</c:formatCode>
                <c:ptCount val="34"/>
                <c:pt idx="0">
                  <c:v>0</c:v>
                </c:pt>
                <c:pt idx="1">
                  <c:v>26.427810000000001</c:v>
                </c:pt>
                <c:pt idx="2">
                  <c:v>20.114153000000002</c:v>
                </c:pt>
                <c:pt idx="3">
                  <c:v>15.779340000000001</c:v>
                </c:pt>
                <c:pt idx="4">
                  <c:v>15.779340000000001</c:v>
                </c:pt>
                <c:pt idx="5">
                  <c:v>15.45025</c:v>
                </c:pt>
                <c:pt idx="6">
                  <c:v>7.7958000000000016</c:v>
                </c:pt>
                <c:pt idx="7">
                  <c:v>3.934800000000001</c:v>
                </c:pt>
                <c:pt idx="8">
                  <c:v>2.7273999999999994</c:v>
                </c:pt>
                <c:pt idx="9">
                  <c:v>2.7273999999999994</c:v>
                </c:pt>
                <c:pt idx="10">
                  <c:v>9.9834900000000015</c:v>
                </c:pt>
                <c:pt idx="11">
                  <c:v>5.895900000000001</c:v>
                </c:pt>
                <c:pt idx="12">
                  <c:v>3.2337000000000025</c:v>
                </c:pt>
                <c:pt idx="13">
                  <c:v>2.2513000000000005</c:v>
                </c:pt>
                <c:pt idx="14">
                  <c:v>2.2513000000000005</c:v>
                </c:pt>
                <c:pt idx="15">
                  <c:v>9.3966000000000012</c:v>
                </c:pt>
                <c:pt idx="16">
                  <c:v>5.9755000000000003</c:v>
                </c:pt>
                <c:pt idx="17">
                  <c:v>2.4878999999999998</c:v>
                </c:pt>
                <c:pt idx="18">
                  <c:v>1.3917000000000002</c:v>
                </c:pt>
                <c:pt idx="19">
                  <c:v>0.9375</c:v>
                </c:pt>
                <c:pt idx="20">
                  <c:v>0.57380000000000209</c:v>
                </c:pt>
                <c:pt idx="21">
                  <c:v>0.5578000000000003</c:v>
                </c:pt>
                <c:pt idx="22">
                  <c:v>0.5578000000000003</c:v>
                </c:pt>
                <c:pt idx="23">
                  <c:v>0.54920000000000258</c:v>
                </c:pt>
                <c:pt idx="24">
                  <c:v>0.5409000000000006</c:v>
                </c:pt>
                <c:pt idx="25">
                  <c:v>0.53290000000000148</c:v>
                </c:pt>
                <c:pt idx="26">
                  <c:v>0.53290000000000148</c:v>
                </c:pt>
                <c:pt idx="27">
                  <c:v>0.5251000000000019</c:v>
                </c:pt>
                <c:pt idx="28">
                  <c:v>0.51740000000000208</c:v>
                </c:pt>
                <c:pt idx="29">
                  <c:v>0.51000000000000156</c:v>
                </c:pt>
                <c:pt idx="30">
                  <c:v>0.51000000000000156</c:v>
                </c:pt>
                <c:pt idx="31">
                  <c:v>0.48880000000000123</c:v>
                </c:pt>
                <c:pt idx="32">
                  <c:v>0.46890000000000143</c:v>
                </c:pt>
                <c:pt idx="33">
                  <c:v>0.45010000000000261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3BD8-4A25-914A-C0F614BABBD7}"/>
            </c:ext>
          </c:extLst>
        </c:ser>
        <c:ser>
          <c:idx val="3"/>
          <c:order val="3"/>
          <c:tx>
            <c:strRef>
              <c:f>'Raw Data'!$AJ$4</c:f>
              <c:strCache>
                <c:ptCount val="1"/>
                <c:pt idx="0">
                  <c:v>HQ 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'Raw Data'!$AF$5:$AF$38</c:f>
              <c:numCache>
                <c:formatCode>General</c:formatCode>
                <c:ptCount val="34"/>
                <c:pt idx="0">
                  <c:v>0</c:v>
                </c:pt>
                <c:pt idx="1">
                  <c:v>0.33333299999999999</c:v>
                </c:pt>
                <c:pt idx="2">
                  <c:v>0.66666700000000001</c:v>
                </c:pt>
                <c:pt idx="3">
                  <c:v>1</c:v>
                </c:pt>
                <c:pt idx="4">
                  <c:v>1</c:v>
                </c:pt>
                <c:pt idx="5">
                  <c:v>3.01932</c:v>
                </c:pt>
                <c:pt idx="6">
                  <c:v>5.0386499999999996</c:v>
                </c:pt>
                <c:pt idx="7">
                  <c:v>8.0386500000000005</c:v>
                </c:pt>
                <c:pt idx="8">
                  <c:v>10</c:v>
                </c:pt>
                <c:pt idx="9">
                  <c:v>10</c:v>
                </c:pt>
                <c:pt idx="10">
                  <c:v>12.019299999999999</c:v>
                </c:pt>
                <c:pt idx="11">
                  <c:v>14.038600000000001</c:v>
                </c:pt>
                <c:pt idx="12">
                  <c:v>17.372</c:v>
                </c:pt>
                <c:pt idx="13">
                  <c:v>20</c:v>
                </c:pt>
                <c:pt idx="14">
                  <c:v>20</c:v>
                </c:pt>
                <c:pt idx="15">
                  <c:v>22.019300000000001</c:v>
                </c:pt>
                <c:pt idx="16">
                  <c:v>24.038599999999999</c:v>
                </c:pt>
                <c:pt idx="17">
                  <c:v>31.372199999999999</c:v>
                </c:pt>
                <c:pt idx="18">
                  <c:v>38.7057</c:v>
                </c:pt>
                <c:pt idx="19">
                  <c:v>46.039200000000001</c:v>
                </c:pt>
                <c:pt idx="20">
                  <c:v>59.372500000000002</c:v>
                </c:pt>
                <c:pt idx="21">
                  <c:v>60</c:v>
                </c:pt>
                <c:pt idx="22">
                  <c:v>60</c:v>
                </c:pt>
                <c:pt idx="23">
                  <c:v>60.333300000000001</c:v>
                </c:pt>
                <c:pt idx="24">
                  <c:v>60.666699999999999</c:v>
                </c:pt>
                <c:pt idx="25">
                  <c:v>61</c:v>
                </c:pt>
                <c:pt idx="26">
                  <c:v>61</c:v>
                </c:pt>
                <c:pt idx="27">
                  <c:v>61.333300000000001</c:v>
                </c:pt>
                <c:pt idx="28">
                  <c:v>61.666699999999999</c:v>
                </c:pt>
                <c:pt idx="29">
                  <c:v>62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</c:numCache>
            </c:numRef>
          </c:xVal>
          <c:yVal>
            <c:numRef>
              <c:f>'Raw Data'!$AJ$5:$AJ$38</c:f>
              <c:numCache>
                <c:formatCode>General</c:formatCode>
                <c:ptCount val="34"/>
                <c:pt idx="0">
                  <c:v>0</c:v>
                </c:pt>
                <c:pt idx="1">
                  <c:v>28.6492</c:v>
                </c:pt>
                <c:pt idx="2">
                  <c:v>20.770200000000003</c:v>
                </c:pt>
                <c:pt idx="3">
                  <c:v>15.888770000000001</c:v>
                </c:pt>
                <c:pt idx="4">
                  <c:v>15.888770000000001</c:v>
                </c:pt>
                <c:pt idx="5">
                  <c:v>14.194780000000002</c:v>
                </c:pt>
                <c:pt idx="6">
                  <c:v>7.2904</c:v>
                </c:pt>
                <c:pt idx="7">
                  <c:v>3.7025100000000002</c:v>
                </c:pt>
                <c:pt idx="8">
                  <c:v>2.5699500000000004</c:v>
                </c:pt>
                <c:pt idx="9">
                  <c:v>2.5699500000000004</c:v>
                </c:pt>
                <c:pt idx="10">
                  <c:v>8.6408500000000004</c:v>
                </c:pt>
                <c:pt idx="11">
                  <c:v>5.3159700000000001</c:v>
                </c:pt>
                <c:pt idx="12">
                  <c:v>2.9729400000000004</c:v>
                </c:pt>
                <c:pt idx="13">
                  <c:v>2.0813500000000005</c:v>
                </c:pt>
                <c:pt idx="14">
                  <c:v>2.0813500000000005</c:v>
                </c:pt>
                <c:pt idx="15">
                  <c:v>7.9441500000000005</c:v>
                </c:pt>
                <c:pt idx="16">
                  <c:v>5.2472100000000008</c:v>
                </c:pt>
                <c:pt idx="17">
                  <c:v>2.2502600000000008</c:v>
                </c:pt>
                <c:pt idx="18">
                  <c:v>1.2695800000000013</c:v>
                </c:pt>
                <c:pt idx="19">
                  <c:v>0.85503000000000107</c:v>
                </c:pt>
                <c:pt idx="20">
                  <c:v>0.52106999999999992</c:v>
                </c:pt>
                <c:pt idx="21">
                  <c:v>0.50631000000000093</c:v>
                </c:pt>
                <c:pt idx="22">
                  <c:v>0.50631000000000093</c:v>
                </c:pt>
                <c:pt idx="23">
                  <c:v>0.49847000000000108</c:v>
                </c:pt>
                <c:pt idx="24">
                  <c:v>0.49088000000000065</c:v>
                </c:pt>
                <c:pt idx="25">
                  <c:v>0.48348999999999975</c:v>
                </c:pt>
                <c:pt idx="26">
                  <c:v>0.48348999999999975</c:v>
                </c:pt>
                <c:pt idx="27">
                  <c:v>0.47630000000000017</c:v>
                </c:pt>
                <c:pt idx="28">
                  <c:v>0.46928000000000125</c:v>
                </c:pt>
                <c:pt idx="29">
                  <c:v>0.46243000000000123</c:v>
                </c:pt>
                <c:pt idx="30">
                  <c:v>0.46243000000000123</c:v>
                </c:pt>
                <c:pt idx="31">
                  <c:v>0.44302000000000064</c:v>
                </c:pt>
                <c:pt idx="32">
                  <c:v>0.42476000000000091</c:v>
                </c:pt>
                <c:pt idx="33">
                  <c:v>0.40747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3BD8-4A25-914A-C0F614BABBD7}"/>
            </c:ext>
          </c:extLst>
        </c:ser>
        <c:ser>
          <c:idx val="4"/>
          <c:order val="4"/>
          <c:tx>
            <c:strRef>
              <c:f>'Raw Data'!$AK$4</c:f>
              <c:strCache>
                <c:ptCount val="1"/>
                <c:pt idx="0">
                  <c:v>HQ 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'Raw Data'!$AF$5:$AF$38</c:f>
              <c:numCache>
                <c:formatCode>General</c:formatCode>
                <c:ptCount val="34"/>
                <c:pt idx="0">
                  <c:v>0</c:v>
                </c:pt>
                <c:pt idx="1">
                  <c:v>0.33333299999999999</c:v>
                </c:pt>
                <c:pt idx="2">
                  <c:v>0.66666700000000001</c:v>
                </c:pt>
                <c:pt idx="3">
                  <c:v>1</c:v>
                </c:pt>
                <c:pt idx="4">
                  <c:v>1</c:v>
                </c:pt>
                <c:pt idx="5">
                  <c:v>3.01932</c:v>
                </c:pt>
                <c:pt idx="6">
                  <c:v>5.0386499999999996</c:v>
                </c:pt>
                <c:pt idx="7">
                  <c:v>8.0386500000000005</c:v>
                </c:pt>
                <c:pt idx="8">
                  <c:v>10</c:v>
                </c:pt>
                <c:pt idx="9">
                  <c:v>10</c:v>
                </c:pt>
                <c:pt idx="10">
                  <c:v>12.019299999999999</c:v>
                </c:pt>
                <c:pt idx="11">
                  <c:v>14.038600000000001</c:v>
                </c:pt>
                <c:pt idx="12">
                  <c:v>17.372</c:v>
                </c:pt>
                <c:pt idx="13">
                  <c:v>20</c:v>
                </c:pt>
                <c:pt idx="14">
                  <c:v>20</c:v>
                </c:pt>
                <c:pt idx="15">
                  <c:v>22.019300000000001</c:v>
                </c:pt>
                <c:pt idx="16">
                  <c:v>24.038599999999999</c:v>
                </c:pt>
                <c:pt idx="17">
                  <c:v>31.372199999999999</c:v>
                </c:pt>
                <c:pt idx="18">
                  <c:v>38.7057</c:v>
                </c:pt>
                <c:pt idx="19">
                  <c:v>46.039200000000001</c:v>
                </c:pt>
                <c:pt idx="20">
                  <c:v>59.372500000000002</c:v>
                </c:pt>
                <c:pt idx="21">
                  <c:v>60</c:v>
                </c:pt>
                <c:pt idx="22">
                  <c:v>60</c:v>
                </c:pt>
                <c:pt idx="23">
                  <c:v>60.333300000000001</c:v>
                </c:pt>
                <c:pt idx="24">
                  <c:v>60.666699999999999</c:v>
                </c:pt>
                <c:pt idx="25">
                  <c:v>61</c:v>
                </c:pt>
                <c:pt idx="26">
                  <c:v>61</c:v>
                </c:pt>
                <c:pt idx="27">
                  <c:v>61.333300000000001</c:v>
                </c:pt>
                <c:pt idx="28">
                  <c:v>61.666699999999999</c:v>
                </c:pt>
                <c:pt idx="29">
                  <c:v>62</c:v>
                </c:pt>
                <c:pt idx="30">
                  <c:v>62</c:v>
                </c:pt>
                <c:pt idx="31">
                  <c:v>63</c:v>
                </c:pt>
                <c:pt idx="32">
                  <c:v>64</c:v>
                </c:pt>
                <c:pt idx="33">
                  <c:v>65</c:v>
                </c:pt>
              </c:numCache>
            </c:numRef>
          </c:xVal>
          <c:yVal>
            <c:numRef>
              <c:f>'Raw Data'!$AK$5:$AK$38</c:f>
              <c:numCache>
                <c:formatCode>General</c:formatCode>
                <c:ptCount val="34"/>
                <c:pt idx="0">
                  <c:v>0</c:v>
                </c:pt>
                <c:pt idx="1">
                  <c:v>22.585399999998856</c:v>
                </c:pt>
                <c:pt idx="2">
                  <c:v>16.720599999998857</c:v>
                </c:pt>
                <c:pt idx="3">
                  <c:v>12.755899999998858</c:v>
                </c:pt>
                <c:pt idx="4">
                  <c:v>12.755899999998858</c:v>
                </c:pt>
                <c:pt idx="5">
                  <c:v>10.731799999998858</c:v>
                </c:pt>
                <c:pt idx="6">
                  <c:v>5.6477199999988574</c:v>
                </c:pt>
                <c:pt idx="7">
                  <c:v>2.9154199999988575</c:v>
                </c:pt>
                <c:pt idx="8">
                  <c:v>2.0420999999988574</c:v>
                </c:pt>
                <c:pt idx="9">
                  <c:v>2.0420999999988574</c:v>
                </c:pt>
                <c:pt idx="10">
                  <c:v>6.2724599999988575</c:v>
                </c:pt>
                <c:pt idx="11">
                  <c:v>4.0134699999988577</c:v>
                </c:pt>
                <c:pt idx="12">
                  <c:v>2.3027599999988575</c:v>
                </c:pt>
                <c:pt idx="13">
                  <c:v>1.6333699999988576</c:v>
                </c:pt>
                <c:pt idx="14">
                  <c:v>1.6333699999988576</c:v>
                </c:pt>
                <c:pt idx="15">
                  <c:v>5.7620199999988575</c:v>
                </c:pt>
                <c:pt idx="16">
                  <c:v>3.9092599999988575</c:v>
                </c:pt>
                <c:pt idx="17">
                  <c:v>1.7295799999988575</c:v>
                </c:pt>
                <c:pt idx="18">
                  <c:v>0.99240699999885762</c:v>
                </c:pt>
                <c:pt idx="19">
                  <c:v>0.67221299999885753</c:v>
                </c:pt>
                <c:pt idx="20">
                  <c:v>0.40952699999885755</c:v>
                </c:pt>
                <c:pt idx="21">
                  <c:v>0.39789999999885756</c:v>
                </c:pt>
                <c:pt idx="22">
                  <c:v>0.39789999999885756</c:v>
                </c:pt>
                <c:pt idx="23">
                  <c:v>0.39171899999885756</c:v>
                </c:pt>
                <c:pt idx="24">
                  <c:v>0.38573899999885758</c:v>
                </c:pt>
                <c:pt idx="25">
                  <c:v>0.37991199999885761</c:v>
                </c:pt>
                <c:pt idx="26">
                  <c:v>0.37991199999885761</c:v>
                </c:pt>
                <c:pt idx="27">
                  <c:v>0.37423299999885756</c:v>
                </c:pt>
                <c:pt idx="28">
                  <c:v>0.3686919999988576</c:v>
                </c:pt>
                <c:pt idx="29">
                  <c:v>0.3632749999988576</c:v>
                </c:pt>
                <c:pt idx="30">
                  <c:v>0.3632749999988576</c:v>
                </c:pt>
                <c:pt idx="31">
                  <c:v>0.3479299999988576</c:v>
                </c:pt>
                <c:pt idx="32">
                  <c:v>0.33348899999885756</c:v>
                </c:pt>
                <c:pt idx="33">
                  <c:v>0.31980899999885759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3BD8-4A25-914A-C0F614BABB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64027887"/>
        <c:axId val="1464028367"/>
      </c:scatterChart>
      <c:valAx>
        <c:axId val="14640278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Time</a:t>
                </a:r>
                <a:r>
                  <a:rPr lang="en-CA" baseline="0"/>
                  <a:t> (d)</a:t>
                </a:r>
                <a:endParaRPr lang="en-CA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028367"/>
        <c:crosses val="autoZero"/>
        <c:crossBetween val="midCat"/>
      </c:valAx>
      <c:valAx>
        <c:axId val="14640283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CA"/>
                  <a:t>Excess Pore Pressure (kPa)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40278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76200</xdr:colOff>
      <xdr:row>1</xdr:row>
      <xdr:rowOff>142874</xdr:rowOff>
    </xdr:from>
    <xdr:to>
      <xdr:col>11</xdr:col>
      <xdr:colOff>304800</xdr:colOff>
      <xdr:row>24</xdr:row>
      <xdr:rowOff>190499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293F552-599F-4CF6-B597-8B848D7153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93094-5F77-444D-B067-ABE164C9839C}">
  <dimension ref="A1:AK56"/>
  <sheetViews>
    <sheetView tabSelected="1" topLeftCell="X1" workbookViewId="0">
      <selection activeCell="AF1" sqref="AF1"/>
    </sheetView>
  </sheetViews>
  <sheetFormatPr defaultRowHeight="15" x14ac:dyDescent="0.25"/>
  <cols>
    <col min="5" max="5" width="14.7109375" customWidth="1"/>
    <col min="11" max="11" width="14.7109375" customWidth="1"/>
    <col min="15" max="15" width="16.140625" customWidth="1"/>
    <col min="17" max="17" width="14.7109375" customWidth="1"/>
    <col min="23" max="23" width="14.7109375" customWidth="1"/>
    <col min="29" max="29" width="14.7109375" customWidth="1"/>
    <col min="32" max="32" width="14.5703125" customWidth="1"/>
  </cols>
  <sheetData>
    <row r="1" spans="1:37" x14ac:dyDescent="0.25">
      <c r="A1" t="s">
        <v>0</v>
      </c>
      <c r="G1" t="s">
        <v>0</v>
      </c>
      <c r="M1" t="s">
        <v>0</v>
      </c>
      <c r="S1" t="s">
        <v>0</v>
      </c>
      <c r="Y1" t="s">
        <v>0</v>
      </c>
      <c r="AF1" t="s">
        <v>41</v>
      </c>
    </row>
    <row r="3" spans="1:37" x14ac:dyDescent="0.25">
      <c r="A3" t="s">
        <v>2</v>
      </c>
      <c r="G3" t="s">
        <v>13</v>
      </c>
      <c r="M3" t="s">
        <v>20</v>
      </c>
      <c r="S3" t="s">
        <v>27</v>
      </c>
      <c r="Y3" t="s">
        <v>34</v>
      </c>
      <c r="AG3" t="s">
        <v>9</v>
      </c>
    </row>
    <row r="4" spans="1:37" x14ac:dyDescent="0.25">
      <c r="A4" t="s">
        <v>1</v>
      </c>
      <c r="B4" t="s">
        <v>10</v>
      </c>
      <c r="C4" t="s">
        <v>11</v>
      </c>
      <c r="D4" t="s">
        <v>12</v>
      </c>
      <c r="E4" t="s">
        <v>9</v>
      </c>
      <c r="G4" t="s">
        <v>1</v>
      </c>
      <c r="H4" t="s">
        <v>10</v>
      </c>
      <c r="I4" t="s">
        <v>11</v>
      </c>
      <c r="J4" t="s">
        <v>12</v>
      </c>
      <c r="K4" t="s">
        <v>9</v>
      </c>
      <c r="M4" t="s">
        <v>1</v>
      </c>
      <c r="N4" t="s">
        <v>10</v>
      </c>
      <c r="O4" t="s">
        <v>11</v>
      </c>
      <c r="P4" t="s">
        <v>12</v>
      </c>
      <c r="Q4" t="s">
        <v>9</v>
      </c>
      <c r="S4" t="s">
        <v>1</v>
      </c>
      <c r="T4" t="s">
        <v>10</v>
      </c>
      <c r="U4" t="s">
        <v>11</v>
      </c>
      <c r="V4" t="s">
        <v>12</v>
      </c>
      <c r="W4" t="s">
        <v>9</v>
      </c>
      <c r="Y4" t="s">
        <v>1</v>
      </c>
      <c r="Z4" t="s">
        <v>10</v>
      </c>
      <c r="AA4" t="s">
        <v>11</v>
      </c>
      <c r="AB4" t="s">
        <v>12</v>
      </c>
      <c r="AC4" t="s">
        <v>9</v>
      </c>
      <c r="AF4" t="s">
        <v>11</v>
      </c>
      <c r="AG4" t="s">
        <v>42</v>
      </c>
      <c r="AH4" t="s">
        <v>43</v>
      </c>
      <c r="AI4" t="s">
        <v>44</v>
      </c>
      <c r="AJ4" t="s">
        <v>45</v>
      </c>
      <c r="AK4" t="s">
        <v>46</v>
      </c>
    </row>
    <row r="5" spans="1:37" x14ac:dyDescent="0.25">
      <c r="A5">
        <v>35</v>
      </c>
      <c r="B5">
        <v>-8</v>
      </c>
      <c r="C5">
        <v>0</v>
      </c>
      <c r="D5">
        <v>-39.24</v>
      </c>
      <c r="E5">
        <f>D5-D$5</f>
        <v>0</v>
      </c>
      <c r="G5">
        <v>45</v>
      </c>
      <c r="H5">
        <v>-9</v>
      </c>
      <c r="I5">
        <v>0</v>
      </c>
      <c r="J5">
        <v>-29.43</v>
      </c>
      <c r="K5">
        <f>J5-J$5</f>
        <v>0</v>
      </c>
      <c r="M5">
        <v>55</v>
      </c>
      <c r="N5">
        <v>-10</v>
      </c>
      <c r="O5">
        <v>0</v>
      </c>
      <c r="P5">
        <v>-19.62</v>
      </c>
      <c r="Q5">
        <f>P5-P$5</f>
        <v>0</v>
      </c>
      <c r="S5">
        <v>65</v>
      </c>
      <c r="T5">
        <v>-11</v>
      </c>
      <c r="U5">
        <v>0</v>
      </c>
      <c r="V5">
        <v>-9.81</v>
      </c>
      <c r="W5">
        <f>V5-V$5</f>
        <v>0</v>
      </c>
      <c r="Y5">
        <v>75</v>
      </c>
      <c r="Z5">
        <v>-12</v>
      </c>
      <c r="AA5">
        <v>0</v>
      </c>
      <c r="AB5" s="3">
        <v>1.1424200000000001E-12</v>
      </c>
      <c r="AC5">
        <f>AB5-AB$5</f>
        <v>0</v>
      </c>
      <c r="AF5">
        <f>C5</f>
        <v>0</v>
      </c>
      <c r="AG5">
        <f>E5</f>
        <v>0</v>
      </c>
      <c r="AH5">
        <f>K5</f>
        <v>0</v>
      </c>
      <c r="AI5">
        <f>Q5</f>
        <v>0</v>
      </c>
      <c r="AJ5">
        <f>W5</f>
        <v>0</v>
      </c>
      <c r="AK5">
        <f>AC5</f>
        <v>0</v>
      </c>
    </row>
    <row r="6" spans="1:37" x14ac:dyDescent="0.25">
      <c r="A6">
        <v>35</v>
      </c>
      <c r="B6">
        <v>-8</v>
      </c>
      <c r="C6">
        <v>0.33333299999999999</v>
      </c>
      <c r="D6">
        <v>-26.319299999999998</v>
      </c>
      <c r="E6">
        <f t="shared" ref="E6:E8" si="0">D6-D$5</f>
        <v>12.920700000000004</v>
      </c>
      <c r="G6">
        <v>45</v>
      </c>
      <c r="H6">
        <v>-9</v>
      </c>
      <c r="I6">
        <v>0.33333299999999999</v>
      </c>
      <c r="J6">
        <v>-9.7877200000000002</v>
      </c>
      <c r="K6">
        <f t="shared" ref="K6:K8" si="1">J6-J$5</f>
        <v>19.64228</v>
      </c>
      <c r="M6">
        <v>55</v>
      </c>
      <c r="N6">
        <v>-10</v>
      </c>
      <c r="O6">
        <v>0.33333299999999999</v>
      </c>
      <c r="P6">
        <v>6.8078099999999999</v>
      </c>
      <c r="Q6">
        <f t="shared" ref="Q6:Q8" si="2">P6-P$5</f>
        <v>26.427810000000001</v>
      </c>
      <c r="S6">
        <v>65</v>
      </c>
      <c r="T6">
        <v>-11</v>
      </c>
      <c r="U6">
        <v>0.33333299999999999</v>
      </c>
      <c r="V6">
        <v>18.839200000000002</v>
      </c>
      <c r="W6">
        <f t="shared" ref="W6:W8" si="3">V6-V$5</f>
        <v>28.6492</v>
      </c>
      <c r="Y6">
        <v>75</v>
      </c>
      <c r="Z6">
        <v>-12</v>
      </c>
      <c r="AA6">
        <v>0.33333299999999999</v>
      </c>
      <c r="AB6">
        <v>22.5854</v>
      </c>
      <c r="AC6">
        <f t="shared" ref="AC6:AC8" si="4">AB6-AB$5</f>
        <v>22.585399999998856</v>
      </c>
      <c r="AF6">
        <f t="shared" ref="AF6:AF8" si="5">C6</f>
        <v>0.33333299999999999</v>
      </c>
      <c r="AG6">
        <f t="shared" ref="AG6:AG8" si="6">E6</f>
        <v>12.920700000000004</v>
      </c>
      <c r="AH6">
        <f>K6</f>
        <v>19.64228</v>
      </c>
      <c r="AI6">
        <f>Q6</f>
        <v>26.427810000000001</v>
      </c>
      <c r="AJ6">
        <f>W6</f>
        <v>28.6492</v>
      </c>
      <c r="AK6">
        <f>AC6</f>
        <v>22.585399999998856</v>
      </c>
    </row>
    <row r="7" spans="1:37" x14ac:dyDescent="0.25">
      <c r="A7">
        <v>35</v>
      </c>
      <c r="B7">
        <v>-8</v>
      </c>
      <c r="C7">
        <v>0.66666700000000001</v>
      </c>
      <c r="D7">
        <v>-26.662299999999998</v>
      </c>
      <c r="E7">
        <f t="shared" si="0"/>
        <v>12.577700000000004</v>
      </c>
      <c r="G7">
        <v>45</v>
      </c>
      <c r="H7">
        <v>-9</v>
      </c>
      <c r="I7">
        <v>0.66666700000000001</v>
      </c>
      <c r="J7">
        <v>-12.801600000000001</v>
      </c>
      <c r="K7">
        <f t="shared" si="1"/>
        <v>16.628399999999999</v>
      </c>
      <c r="M7">
        <v>55</v>
      </c>
      <c r="N7">
        <v>-10</v>
      </c>
      <c r="O7">
        <v>0.66666700000000001</v>
      </c>
      <c r="P7">
        <v>0.49415300000000001</v>
      </c>
      <c r="Q7">
        <f t="shared" si="2"/>
        <v>20.114153000000002</v>
      </c>
      <c r="S7">
        <v>65</v>
      </c>
      <c r="T7">
        <v>-11</v>
      </c>
      <c r="U7">
        <v>0.66666700000000001</v>
      </c>
      <c r="V7">
        <v>10.9602</v>
      </c>
      <c r="W7">
        <f t="shared" si="3"/>
        <v>20.770200000000003</v>
      </c>
      <c r="Y7">
        <v>75</v>
      </c>
      <c r="Z7">
        <v>-12</v>
      </c>
      <c r="AA7">
        <v>0.66666700000000001</v>
      </c>
      <c r="AB7">
        <v>16.720600000000001</v>
      </c>
      <c r="AC7">
        <f t="shared" si="4"/>
        <v>16.720599999998857</v>
      </c>
      <c r="AF7">
        <f t="shared" si="5"/>
        <v>0.66666700000000001</v>
      </c>
      <c r="AG7">
        <f t="shared" si="6"/>
        <v>12.577700000000004</v>
      </c>
      <c r="AH7">
        <f>K7</f>
        <v>16.628399999999999</v>
      </c>
      <c r="AI7">
        <f>Q7</f>
        <v>20.114153000000002</v>
      </c>
      <c r="AJ7">
        <f>W7</f>
        <v>20.770200000000003</v>
      </c>
      <c r="AK7">
        <f>AC7</f>
        <v>16.720599999998857</v>
      </c>
    </row>
    <row r="8" spans="1:37" x14ac:dyDescent="0.25">
      <c r="A8">
        <v>35</v>
      </c>
      <c r="B8">
        <v>-8</v>
      </c>
      <c r="C8">
        <v>1</v>
      </c>
      <c r="D8">
        <v>-28.354700000000001</v>
      </c>
      <c r="E8">
        <f t="shared" si="0"/>
        <v>10.885300000000001</v>
      </c>
      <c r="G8">
        <v>45</v>
      </c>
      <c r="H8">
        <v>-9</v>
      </c>
      <c r="I8">
        <v>1</v>
      </c>
      <c r="J8">
        <v>-15.7546</v>
      </c>
      <c r="K8">
        <f t="shared" si="1"/>
        <v>13.6754</v>
      </c>
      <c r="M8">
        <v>55</v>
      </c>
      <c r="N8">
        <v>-10</v>
      </c>
      <c r="O8">
        <v>1</v>
      </c>
      <c r="P8">
        <v>-3.8406600000000002</v>
      </c>
      <c r="Q8">
        <f t="shared" si="2"/>
        <v>15.779340000000001</v>
      </c>
      <c r="S8">
        <v>65</v>
      </c>
      <c r="T8">
        <v>-11</v>
      </c>
      <c r="U8">
        <v>1</v>
      </c>
      <c r="V8">
        <v>6.0787699999999996</v>
      </c>
      <c r="W8">
        <f t="shared" si="3"/>
        <v>15.888770000000001</v>
      </c>
      <c r="Y8">
        <v>75</v>
      </c>
      <c r="Z8">
        <v>-12</v>
      </c>
      <c r="AA8">
        <v>1</v>
      </c>
      <c r="AB8">
        <v>12.7559</v>
      </c>
      <c r="AC8">
        <f t="shared" si="4"/>
        <v>12.755899999998858</v>
      </c>
      <c r="AF8">
        <f t="shared" si="5"/>
        <v>1</v>
      </c>
      <c r="AG8">
        <f t="shared" si="6"/>
        <v>10.885300000000001</v>
      </c>
      <c r="AH8">
        <f>K8</f>
        <v>13.6754</v>
      </c>
      <c r="AI8">
        <f>Q8</f>
        <v>15.779340000000001</v>
      </c>
      <c r="AJ8">
        <f>W8</f>
        <v>15.888770000000001</v>
      </c>
      <c r="AK8">
        <f>AC8</f>
        <v>12.755899999998858</v>
      </c>
    </row>
    <row r="9" spans="1:37" x14ac:dyDescent="0.25">
      <c r="AF9">
        <f>C12</f>
        <v>1</v>
      </c>
      <c r="AG9">
        <f>E12</f>
        <v>10.885300000000001</v>
      </c>
      <c r="AH9">
        <f>K12</f>
        <v>13.6754</v>
      </c>
      <c r="AI9">
        <f>Q12</f>
        <v>15.779340000000001</v>
      </c>
      <c r="AJ9">
        <f>W12</f>
        <v>15.888770000000001</v>
      </c>
      <c r="AK9">
        <f>AC12</f>
        <v>12.755899999998858</v>
      </c>
    </row>
    <row r="10" spans="1:37" x14ac:dyDescent="0.25">
      <c r="A10" t="s">
        <v>3</v>
      </c>
      <c r="G10" t="s">
        <v>14</v>
      </c>
      <c r="M10" t="s">
        <v>21</v>
      </c>
      <c r="S10" t="s">
        <v>28</v>
      </c>
      <c r="Y10" t="s">
        <v>35</v>
      </c>
      <c r="AF10">
        <f t="shared" ref="AF10:AF13" si="7">C13</f>
        <v>3.01932</v>
      </c>
      <c r="AG10">
        <f t="shared" ref="AG10:AG13" si="8">E13</f>
        <v>11.678100000000001</v>
      </c>
      <c r="AH10">
        <f>K13</f>
        <v>14.4129</v>
      </c>
      <c r="AI10">
        <f>Q13</f>
        <v>15.45025</v>
      </c>
      <c r="AJ10">
        <f>W13</f>
        <v>14.194780000000002</v>
      </c>
      <c r="AK10">
        <f>AC13</f>
        <v>10.731799999998858</v>
      </c>
    </row>
    <row r="11" spans="1:37" x14ac:dyDescent="0.25">
      <c r="A11" t="s">
        <v>1</v>
      </c>
      <c r="B11" t="s">
        <v>10</v>
      </c>
      <c r="C11" t="s">
        <v>11</v>
      </c>
      <c r="D11" t="s">
        <v>12</v>
      </c>
      <c r="E11" t="s">
        <v>9</v>
      </c>
      <c r="G11" t="s">
        <v>1</v>
      </c>
      <c r="H11" t="s">
        <v>10</v>
      </c>
      <c r="I11" t="s">
        <v>11</v>
      </c>
      <c r="J11" t="s">
        <v>12</v>
      </c>
      <c r="K11" t="s">
        <v>9</v>
      </c>
      <c r="M11" t="s">
        <v>1</v>
      </c>
      <c r="N11" t="s">
        <v>10</v>
      </c>
      <c r="O11" t="s">
        <v>11</v>
      </c>
      <c r="P11" t="s">
        <v>12</v>
      </c>
      <c r="Q11" t="s">
        <v>9</v>
      </c>
      <c r="S11" t="s">
        <v>1</v>
      </c>
      <c r="T11" t="s">
        <v>10</v>
      </c>
      <c r="U11" t="s">
        <v>11</v>
      </c>
      <c r="V11" t="s">
        <v>12</v>
      </c>
      <c r="W11" t="s">
        <v>9</v>
      </c>
      <c r="Y11" t="s">
        <v>1</v>
      </c>
      <c r="Z11" t="s">
        <v>10</v>
      </c>
      <c r="AA11" t="s">
        <v>11</v>
      </c>
      <c r="AB11" t="s">
        <v>12</v>
      </c>
      <c r="AC11" t="s">
        <v>9</v>
      </c>
      <c r="AF11">
        <f t="shared" si="7"/>
        <v>5.0386499999999996</v>
      </c>
      <c r="AG11">
        <f t="shared" si="8"/>
        <v>6.0167000000000002</v>
      </c>
      <c r="AH11">
        <f>K14</f>
        <v>7.2299000000000007</v>
      </c>
      <c r="AI11">
        <f>Q14</f>
        <v>7.7958000000000016</v>
      </c>
      <c r="AJ11">
        <f>W14</f>
        <v>7.2904</v>
      </c>
      <c r="AK11">
        <f>AC14</f>
        <v>5.6477199999988574</v>
      </c>
    </row>
    <row r="12" spans="1:37" x14ac:dyDescent="0.25">
      <c r="A12">
        <v>35</v>
      </c>
      <c r="B12">
        <v>-8</v>
      </c>
      <c r="C12">
        <v>1</v>
      </c>
      <c r="D12">
        <v>-28.354700000000001</v>
      </c>
      <c r="E12">
        <f t="shared" ref="E12:E16" si="9">D12-D$5</f>
        <v>10.885300000000001</v>
      </c>
      <c r="G12">
        <v>45</v>
      </c>
      <c r="H12">
        <v>-9</v>
      </c>
      <c r="I12">
        <v>1</v>
      </c>
      <c r="J12">
        <v>-15.7546</v>
      </c>
      <c r="K12">
        <f t="shared" ref="K12:K16" si="10">J12-J$5</f>
        <v>13.6754</v>
      </c>
      <c r="M12">
        <v>55</v>
      </c>
      <c r="N12">
        <v>-10</v>
      </c>
      <c r="O12">
        <v>1</v>
      </c>
      <c r="P12">
        <v>-3.8406600000000002</v>
      </c>
      <c r="Q12">
        <f t="shared" ref="Q12:Q16" si="11">P12-P$5</f>
        <v>15.779340000000001</v>
      </c>
      <c r="S12">
        <v>65</v>
      </c>
      <c r="T12">
        <v>-11</v>
      </c>
      <c r="U12">
        <v>1</v>
      </c>
      <c r="V12">
        <v>6.0787699999999996</v>
      </c>
      <c r="W12">
        <f t="shared" ref="W12:W16" si="12">V12-V$5</f>
        <v>15.888770000000001</v>
      </c>
      <c r="Y12">
        <v>75</v>
      </c>
      <c r="Z12">
        <v>-12</v>
      </c>
      <c r="AA12">
        <v>1</v>
      </c>
      <c r="AB12">
        <v>12.7559</v>
      </c>
      <c r="AC12">
        <f t="shared" ref="AC12:AC16" si="13">AB12-AB$5</f>
        <v>12.755899999998858</v>
      </c>
      <c r="AF12">
        <f t="shared" si="7"/>
        <v>8.0386500000000005</v>
      </c>
      <c r="AG12">
        <f t="shared" si="8"/>
        <v>3.0571000000000055</v>
      </c>
      <c r="AH12">
        <f>K15</f>
        <v>3.6538000000000004</v>
      </c>
      <c r="AI12">
        <f>Q15</f>
        <v>3.934800000000001</v>
      </c>
      <c r="AJ12">
        <f>W15</f>
        <v>3.7025100000000002</v>
      </c>
      <c r="AK12">
        <f>AC15</f>
        <v>2.9154199999988575</v>
      </c>
    </row>
    <row r="13" spans="1:37" x14ac:dyDescent="0.25">
      <c r="A13">
        <v>35</v>
      </c>
      <c r="B13">
        <v>-8</v>
      </c>
      <c r="C13">
        <v>3.01932</v>
      </c>
      <c r="D13">
        <v>-27.561900000000001</v>
      </c>
      <c r="E13">
        <f t="shared" si="9"/>
        <v>11.678100000000001</v>
      </c>
      <c r="G13">
        <v>45</v>
      </c>
      <c r="H13">
        <v>-9</v>
      </c>
      <c r="I13">
        <v>3.01932</v>
      </c>
      <c r="J13">
        <v>-15.017099999999999</v>
      </c>
      <c r="K13">
        <f t="shared" si="10"/>
        <v>14.4129</v>
      </c>
      <c r="M13">
        <v>55</v>
      </c>
      <c r="N13">
        <v>-10</v>
      </c>
      <c r="O13">
        <v>3.01932</v>
      </c>
      <c r="P13">
        <v>-4.1697499999999996</v>
      </c>
      <c r="Q13">
        <f t="shared" si="11"/>
        <v>15.45025</v>
      </c>
      <c r="S13">
        <v>65</v>
      </c>
      <c r="T13">
        <v>-11</v>
      </c>
      <c r="U13">
        <v>3.01932</v>
      </c>
      <c r="V13">
        <v>4.3847800000000001</v>
      </c>
      <c r="W13">
        <f t="shared" si="12"/>
        <v>14.194780000000002</v>
      </c>
      <c r="Y13">
        <v>75</v>
      </c>
      <c r="Z13">
        <v>-12</v>
      </c>
      <c r="AA13">
        <v>3.01932</v>
      </c>
      <c r="AB13">
        <v>10.7318</v>
      </c>
      <c r="AC13">
        <f t="shared" si="13"/>
        <v>10.731799999998858</v>
      </c>
      <c r="AF13">
        <f t="shared" si="7"/>
        <v>10</v>
      </c>
      <c r="AG13">
        <f t="shared" si="8"/>
        <v>2.1283999999999992</v>
      </c>
      <c r="AH13">
        <f>K16</f>
        <v>2.5383999999999993</v>
      </c>
      <c r="AI13">
        <f>Q16</f>
        <v>2.7273999999999994</v>
      </c>
      <c r="AJ13">
        <f>W16</f>
        <v>2.5699500000000004</v>
      </c>
      <c r="AK13">
        <f>AC16</f>
        <v>2.0420999999988574</v>
      </c>
    </row>
    <row r="14" spans="1:37" x14ac:dyDescent="0.25">
      <c r="A14">
        <v>35</v>
      </c>
      <c r="B14">
        <v>-8</v>
      </c>
      <c r="C14">
        <v>5.0386499999999996</v>
      </c>
      <c r="D14">
        <v>-33.223300000000002</v>
      </c>
      <c r="E14">
        <f t="shared" si="9"/>
        <v>6.0167000000000002</v>
      </c>
      <c r="G14">
        <v>45</v>
      </c>
      <c r="H14">
        <v>-9</v>
      </c>
      <c r="I14">
        <v>5.0386499999999996</v>
      </c>
      <c r="J14">
        <v>-22.200099999999999</v>
      </c>
      <c r="K14">
        <f t="shared" si="10"/>
        <v>7.2299000000000007</v>
      </c>
      <c r="M14">
        <v>55</v>
      </c>
      <c r="N14">
        <v>-10</v>
      </c>
      <c r="O14">
        <v>5.0386499999999996</v>
      </c>
      <c r="P14">
        <v>-11.824199999999999</v>
      </c>
      <c r="Q14">
        <f t="shared" si="11"/>
        <v>7.7958000000000016</v>
      </c>
      <c r="S14">
        <v>65</v>
      </c>
      <c r="T14">
        <v>-11</v>
      </c>
      <c r="U14">
        <v>5.0386499999999996</v>
      </c>
      <c r="V14">
        <v>-2.5196000000000001</v>
      </c>
      <c r="W14">
        <f t="shared" si="12"/>
        <v>7.2904</v>
      </c>
      <c r="Y14">
        <v>75</v>
      </c>
      <c r="Z14">
        <v>-12</v>
      </c>
      <c r="AA14">
        <v>5.0386499999999996</v>
      </c>
      <c r="AB14">
        <v>5.6477199999999996</v>
      </c>
      <c r="AC14">
        <f t="shared" si="13"/>
        <v>5.6477199999988574</v>
      </c>
      <c r="AF14">
        <f>C20</f>
        <v>10</v>
      </c>
      <c r="AG14">
        <f>E20</f>
        <v>2.1283999999999992</v>
      </c>
      <c r="AH14">
        <f>K20</f>
        <v>2.5383999999999993</v>
      </c>
      <c r="AI14">
        <f>Q20</f>
        <v>2.7273999999999994</v>
      </c>
      <c r="AJ14">
        <f>W20</f>
        <v>2.5699500000000004</v>
      </c>
      <c r="AK14">
        <f>AC20</f>
        <v>2.0420999999988574</v>
      </c>
    </row>
    <row r="15" spans="1:37" x14ac:dyDescent="0.25">
      <c r="A15">
        <v>35</v>
      </c>
      <c r="B15">
        <v>-8</v>
      </c>
      <c r="C15">
        <v>8.0386500000000005</v>
      </c>
      <c r="D15">
        <v>-36.182899999999997</v>
      </c>
      <c r="E15">
        <f t="shared" si="9"/>
        <v>3.0571000000000055</v>
      </c>
      <c r="G15">
        <v>45</v>
      </c>
      <c r="H15">
        <v>-9</v>
      </c>
      <c r="I15">
        <v>8.0386500000000005</v>
      </c>
      <c r="J15">
        <v>-25.776199999999999</v>
      </c>
      <c r="K15">
        <f t="shared" si="10"/>
        <v>3.6538000000000004</v>
      </c>
      <c r="M15">
        <v>55</v>
      </c>
      <c r="N15">
        <v>-10</v>
      </c>
      <c r="O15">
        <v>8.0386500000000005</v>
      </c>
      <c r="P15">
        <v>-15.6852</v>
      </c>
      <c r="Q15">
        <f t="shared" si="11"/>
        <v>3.934800000000001</v>
      </c>
      <c r="S15">
        <v>65</v>
      </c>
      <c r="T15">
        <v>-11</v>
      </c>
      <c r="U15">
        <v>8.0386500000000005</v>
      </c>
      <c r="V15">
        <v>-6.1074900000000003</v>
      </c>
      <c r="W15">
        <f t="shared" si="12"/>
        <v>3.7025100000000002</v>
      </c>
      <c r="Y15">
        <v>75</v>
      </c>
      <c r="Z15">
        <v>-12</v>
      </c>
      <c r="AA15">
        <v>8.0386500000000005</v>
      </c>
      <c r="AB15">
        <v>2.9154200000000001</v>
      </c>
      <c r="AC15">
        <f t="shared" si="13"/>
        <v>2.9154199999988575</v>
      </c>
      <c r="AF15">
        <f t="shared" ref="AF15:AF18" si="14">C21</f>
        <v>12.019299999999999</v>
      </c>
      <c r="AG15">
        <f t="shared" ref="AG15:AG18" si="15">E21</f>
        <v>7.4708000000000006</v>
      </c>
      <c r="AH15">
        <f>K21</f>
        <v>9.4797000000000011</v>
      </c>
      <c r="AI15">
        <f>Q21</f>
        <v>9.9834900000000015</v>
      </c>
      <c r="AJ15">
        <f>W21</f>
        <v>8.6408500000000004</v>
      </c>
      <c r="AK15">
        <f>AC21</f>
        <v>6.2724599999988575</v>
      </c>
    </row>
    <row r="16" spans="1:37" x14ac:dyDescent="0.25">
      <c r="A16">
        <v>35</v>
      </c>
      <c r="B16">
        <v>-8</v>
      </c>
      <c r="C16">
        <v>10</v>
      </c>
      <c r="D16">
        <v>-37.111600000000003</v>
      </c>
      <c r="E16">
        <f t="shared" si="9"/>
        <v>2.1283999999999992</v>
      </c>
      <c r="G16">
        <v>45</v>
      </c>
      <c r="H16">
        <v>-9</v>
      </c>
      <c r="I16">
        <v>10</v>
      </c>
      <c r="J16">
        <v>-26.8916</v>
      </c>
      <c r="K16">
        <f t="shared" si="10"/>
        <v>2.5383999999999993</v>
      </c>
      <c r="M16">
        <v>55</v>
      </c>
      <c r="N16">
        <v>-10</v>
      </c>
      <c r="O16">
        <v>10</v>
      </c>
      <c r="P16">
        <v>-16.892600000000002</v>
      </c>
      <c r="Q16">
        <f t="shared" si="11"/>
        <v>2.7273999999999994</v>
      </c>
      <c r="S16">
        <v>65</v>
      </c>
      <c r="T16">
        <v>-11</v>
      </c>
      <c r="U16">
        <v>10</v>
      </c>
      <c r="V16">
        <v>-7.2400500000000001</v>
      </c>
      <c r="W16">
        <f t="shared" si="12"/>
        <v>2.5699500000000004</v>
      </c>
      <c r="Y16">
        <v>75</v>
      </c>
      <c r="Z16">
        <v>-12</v>
      </c>
      <c r="AA16">
        <v>10</v>
      </c>
      <c r="AB16">
        <v>2.0421</v>
      </c>
      <c r="AC16">
        <f t="shared" si="13"/>
        <v>2.0420999999988574</v>
      </c>
      <c r="AF16">
        <f t="shared" si="14"/>
        <v>14.038600000000001</v>
      </c>
      <c r="AG16">
        <f t="shared" si="15"/>
        <v>4.580600000000004</v>
      </c>
      <c r="AH16">
        <f>K22</f>
        <v>5.5484000000000009</v>
      </c>
      <c r="AI16">
        <f>Q22</f>
        <v>5.895900000000001</v>
      </c>
      <c r="AJ16">
        <f>W22</f>
        <v>5.3159700000000001</v>
      </c>
      <c r="AK16">
        <f>AC22</f>
        <v>4.0134699999988577</v>
      </c>
    </row>
    <row r="17" spans="1:37" x14ac:dyDescent="0.25">
      <c r="AF17">
        <f t="shared" si="14"/>
        <v>17.372</v>
      </c>
      <c r="AG17">
        <f t="shared" si="15"/>
        <v>2.5564000000000036</v>
      </c>
      <c r="AH17">
        <f>K23</f>
        <v>3.0433999999999983</v>
      </c>
      <c r="AI17">
        <f>Q23</f>
        <v>3.2337000000000025</v>
      </c>
      <c r="AJ17">
        <f>W23</f>
        <v>2.9729400000000004</v>
      </c>
      <c r="AK17">
        <f>AC23</f>
        <v>2.3027599999988575</v>
      </c>
    </row>
    <row r="18" spans="1:37" x14ac:dyDescent="0.25">
      <c r="A18" t="s">
        <v>4</v>
      </c>
      <c r="G18" t="s">
        <v>15</v>
      </c>
      <c r="M18" t="s">
        <v>22</v>
      </c>
      <c r="S18" t="s">
        <v>29</v>
      </c>
      <c r="Y18" t="s">
        <v>36</v>
      </c>
      <c r="AF18">
        <f t="shared" si="14"/>
        <v>20</v>
      </c>
      <c r="AG18">
        <f t="shared" si="15"/>
        <v>1.8045000000000044</v>
      </c>
      <c r="AH18">
        <f>K24</f>
        <v>2.1283999999999992</v>
      </c>
      <c r="AI18">
        <f>Q24</f>
        <v>2.2513000000000005</v>
      </c>
      <c r="AJ18">
        <f>W24</f>
        <v>2.0813500000000005</v>
      </c>
      <c r="AK18">
        <f>AC24</f>
        <v>1.6333699999988576</v>
      </c>
    </row>
    <row r="19" spans="1:37" x14ac:dyDescent="0.25">
      <c r="A19" t="s">
        <v>1</v>
      </c>
      <c r="B19" t="s">
        <v>10</v>
      </c>
      <c r="C19" t="s">
        <v>11</v>
      </c>
      <c r="D19" t="s">
        <v>12</v>
      </c>
      <c r="E19" t="s">
        <v>9</v>
      </c>
      <c r="G19" t="s">
        <v>1</v>
      </c>
      <c r="H19" t="s">
        <v>10</v>
      </c>
      <c r="I19" t="s">
        <v>11</v>
      </c>
      <c r="J19" t="s">
        <v>12</v>
      </c>
      <c r="K19" t="s">
        <v>9</v>
      </c>
      <c r="M19" t="s">
        <v>1</v>
      </c>
      <c r="N19" t="s">
        <v>10</v>
      </c>
      <c r="O19" t="s">
        <v>11</v>
      </c>
      <c r="P19" t="s">
        <v>12</v>
      </c>
      <c r="Q19" t="s">
        <v>9</v>
      </c>
      <c r="S19" t="s">
        <v>1</v>
      </c>
      <c r="T19" t="s">
        <v>10</v>
      </c>
      <c r="U19" t="s">
        <v>11</v>
      </c>
      <c r="V19" t="s">
        <v>12</v>
      </c>
      <c r="W19" t="s">
        <v>9</v>
      </c>
      <c r="Y19" t="s">
        <v>1</v>
      </c>
      <c r="Z19" t="s">
        <v>10</v>
      </c>
      <c r="AA19" t="s">
        <v>11</v>
      </c>
      <c r="AB19" t="s">
        <v>12</v>
      </c>
      <c r="AC19" t="s">
        <v>9</v>
      </c>
      <c r="AF19">
        <f>C28</f>
        <v>20</v>
      </c>
      <c r="AG19">
        <f>E28</f>
        <v>1.8045000000000044</v>
      </c>
      <c r="AH19">
        <f t="shared" ref="AH19:AH26" si="16">K28</f>
        <v>2.1283999999999992</v>
      </c>
      <c r="AI19">
        <f t="shared" ref="AI19:AI26" si="17">Q28</f>
        <v>2.2513000000000005</v>
      </c>
      <c r="AJ19">
        <f t="shared" ref="AJ19:AJ26" si="18">W28</f>
        <v>2.0813500000000005</v>
      </c>
      <c r="AK19">
        <f t="shared" ref="AK19:AK26" si="19">AC28</f>
        <v>1.6333699999988576</v>
      </c>
    </row>
    <row r="20" spans="1:37" x14ac:dyDescent="0.25">
      <c r="A20">
        <v>35</v>
      </c>
      <c r="B20">
        <v>-8</v>
      </c>
      <c r="C20">
        <v>10</v>
      </c>
      <c r="D20">
        <v>-37.111600000000003</v>
      </c>
      <c r="E20">
        <f t="shared" ref="E20:E24" si="20">D20-D$5</f>
        <v>2.1283999999999992</v>
      </c>
      <c r="G20">
        <v>45</v>
      </c>
      <c r="H20">
        <v>-9</v>
      </c>
      <c r="I20">
        <v>10</v>
      </c>
      <c r="J20">
        <v>-26.8916</v>
      </c>
      <c r="K20">
        <f t="shared" ref="K20:K24" si="21">J20-J$5</f>
        <v>2.5383999999999993</v>
      </c>
      <c r="M20">
        <v>55</v>
      </c>
      <c r="N20">
        <v>-10</v>
      </c>
      <c r="O20">
        <v>10</v>
      </c>
      <c r="P20">
        <v>-16.892600000000002</v>
      </c>
      <c r="Q20">
        <f t="shared" ref="Q20:Q24" si="22">P20-P$5</f>
        <v>2.7273999999999994</v>
      </c>
      <c r="S20">
        <v>65</v>
      </c>
      <c r="T20">
        <v>-11</v>
      </c>
      <c r="U20">
        <v>10</v>
      </c>
      <c r="V20">
        <v>-7.2400500000000001</v>
      </c>
      <c r="W20">
        <f t="shared" ref="W20:W24" si="23">V20-V$5</f>
        <v>2.5699500000000004</v>
      </c>
      <c r="Y20">
        <v>75</v>
      </c>
      <c r="Z20">
        <v>-12</v>
      </c>
      <c r="AA20">
        <v>10</v>
      </c>
      <c r="AB20">
        <v>2.0421</v>
      </c>
      <c r="AC20">
        <f t="shared" ref="AC20:AC24" si="24">AB20-AB$5</f>
        <v>2.0420999999988574</v>
      </c>
      <c r="AF20">
        <f t="shared" ref="AF20:AF26" si="25">C29</f>
        <v>22.019300000000001</v>
      </c>
      <c r="AG20">
        <f t="shared" ref="AG20:AG26" si="26">E29</f>
        <v>6.9403000000000006</v>
      </c>
      <c r="AH20">
        <f t="shared" si="16"/>
        <v>8.8703000000000003</v>
      </c>
      <c r="AI20">
        <f t="shared" si="17"/>
        <v>9.3966000000000012</v>
      </c>
      <c r="AJ20">
        <f t="shared" si="18"/>
        <v>7.9441500000000005</v>
      </c>
      <c r="AK20">
        <f t="shared" si="19"/>
        <v>5.7620199999988575</v>
      </c>
    </row>
    <row r="21" spans="1:37" x14ac:dyDescent="0.25">
      <c r="A21">
        <v>35</v>
      </c>
      <c r="B21">
        <v>-8</v>
      </c>
      <c r="C21">
        <v>12.019299999999999</v>
      </c>
      <c r="D21">
        <v>-31.769200000000001</v>
      </c>
      <c r="E21">
        <f t="shared" si="20"/>
        <v>7.4708000000000006</v>
      </c>
      <c r="G21">
        <v>45</v>
      </c>
      <c r="H21">
        <v>-9</v>
      </c>
      <c r="I21">
        <v>12.019299999999999</v>
      </c>
      <c r="J21">
        <v>-19.950299999999999</v>
      </c>
      <c r="K21">
        <f t="shared" si="21"/>
        <v>9.4797000000000011</v>
      </c>
      <c r="M21">
        <v>55</v>
      </c>
      <c r="N21">
        <v>-10</v>
      </c>
      <c r="O21">
        <v>12.019299999999999</v>
      </c>
      <c r="P21">
        <v>-9.6365099999999995</v>
      </c>
      <c r="Q21">
        <f t="shared" si="22"/>
        <v>9.9834900000000015</v>
      </c>
      <c r="S21">
        <v>65</v>
      </c>
      <c r="T21">
        <v>-11</v>
      </c>
      <c r="U21">
        <v>12.019299999999999</v>
      </c>
      <c r="V21">
        <v>-1.1691499999999999</v>
      </c>
      <c r="W21">
        <f t="shared" si="23"/>
        <v>8.6408500000000004</v>
      </c>
      <c r="Y21">
        <v>75</v>
      </c>
      <c r="Z21">
        <v>-12</v>
      </c>
      <c r="AA21">
        <v>12.019299999999999</v>
      </c>
      <c r="AB21">
        <v>6.2724599999999997</v>
      </c>
      <c r="AC21">
        <f t="shared" si="24"/>
        <v>6.2724599999988575</v>
      </c>
      <c r="AF21">
        <f t="shared" si="25"/>
        <v>24.038599999999999</v>
      </c>
      <c r="AG21">
        <f t="shared" si="26"/>
        <v>4.6343000000000032</v>
      </c>
      <c r="AH21">
        <f t="shared" si="16"/>
        <v>5.6590999999999987</v>
      </c>
      <c r="AI21">
        <f t="shared" si="17"/>
        <v>5.9755000000000003</v>
      </c>
      <c r="AJ21">
        <f t="shared" si="18"/>
        <v>5.2472100000000008</v>
      </c>
      <c r="AK21">
        <f t="shared" si="19"/>
        <v>3.9092599999988575</v>
      </c>
    </row>
    <row r="22" spans="1:37" x14ac:dyDescent="0.25">
      <c r="A22">
        <v>35</v>
      </c>
      <c r="B22">
        <v>-8</v>
      </c>
      <c r="C22">
        <v>14.038600000000001</v>
      </c>
      <c r="D22">
        <v>-34.659399999999998</v>
      </c>
      <c r="E22">
        <f t="shared" si="20"/>
        <v>4.580600000000004</v>
      </c>
      <c r="G22">
        <v>45</v>
      </c>
      <c r="H22">
        <v>-9</v>
      </c>
      <c r="I22">
        <v>14.038600000000001</v>
      </c>
      <c r="J22">
        <v>-23.881599999999999</v>
      </c>
      <c r="K22">
        <f t="shared" si="21"/>
        <v>5.5484000000000009</v>
      </c>
      <c r="M22">
        <v>55</v>
      </c>
      <c r="N22">
        <v>-10</v>
      </c>
      <c r="O22">
        <v>14.038600000000001</v>
      </c>
      <c r="P22">
        <v>-13.7241</v>
      </c>
      <c r="Q22">
        <f t="shared" si="22"/>
        <v>5.895900000000001</v>
      </c>
      <c r="S22">
        <v>65</v>
      </c>
      <c r="T22">
        <v>-11</v>
      </c>
      <c r="U22">
        <v>14.038600000000001</v>
      </c>
      <c r="V22">
        <v>-4.4940300000000004</v>
      </c>
      <c r="W22">
        <f t="shared" si="23"/>
        <v>5.3159700000000001</v>
      </c>
      <c r="Y22">
        <v>75</v>
      </c>
      <c r="Z22">
        <v>-12</v>
      </c>
      <c r="AA22">
        <v>14.038600000000001</v>
      </c>
      <c r="AB22">
        <v>4.0134699999999999</v>
      </c>
      <c r="AC22">
        <f t="shared" si="24"/>
        <v>4.0134699999988577</v>
      </c>
      <c r="AF22">
        <f t="shared" si="25"/>
        <v>31.372199999999999</v>
      </c>
      <c r="AG22">
        <f t="shared" si="26"/>
        <v>2.0010000000000048</v>
      </c>
      <c r="AH22">
        <f t="shared" si="16"/>
        <v>2.3684000000000012</v>
      </c>
      <c r="AI22">
        <f t="shared" si="17"/>
        <v>2.4878999999999998</v>
      </c>
      <c r="AJ22">
        <f t="shared" si="18"/>
        <v>2.2502600000000008</v>
      </c>
      <c r="AK22">
        <f t="shared" si="19"/>
        <v>1.7295799999988575</v>
      </c>
    </row>
    <row r="23" spans="1:37" x14ac:dyDescent="0.25">
      <c r="A23">
        <v>35</v>
      </c>
      <c r="B23">
        <v>-8</v>
      </c>
      <c r="C23">
        <v>17.372</v>
      </c>
      <c r="D23">
        <v>-36.683599999999998</v>
      </c>
      <c r="E23">
        <f t="shared" si="20"/>
        <v>2.5564000000000036</v>
      </c>
      <c r="G23">
        <v>45</v>
      </c>
      <c r="H23">
        <v>-9</v>
      </c>
      <c r="I23">
        <v>17.372</v>
      </c>
      <c r="J23">
        <v>-26.386600000000001</v>
      </c>
      <c r="K23">
        <f t="shared" si="21"/>
        <v>3.0433999999999983</v>
      </c>
      <c r="M23">
        <v>55</v>
      </c>
      <c r="N23">
        <v>-10</v>
      </c>
      <c r="O23">
        <v>17.372</v>
      </c>
      <c r="P23">
        <v>-16.386299999999999</v>
      </c>
      <c r="Q23">
        <f t="shared" si="22"/>
        <v>3.2337000000000025</v>
      </c>
      <c r="S23">
        <v>65</v>
      </c>
      <c r="T23">
        <v>-11</v>
      </c>
      <c r="U23">
        <v>17.372</v>
      </c>
      <c r="V23">
        <v>-6.8370600000000001</v>
      </c>
      <c r="W23">
        <f t="shared" si="23"/>
        <v>2.9729400000000004</v>
      </c>
      <c r="Y23">
        <v>75</v>
      </c>
      <c r="Z23">
        <v>-12</v>
      </c>
      <c r="AA23">
        <v>17.372</v>
      </c>
      <c r="AB23">
        <v>2.3027600000000001</v>
      </c>
      <c r="AC23">
        <f t="shared" si="24"/>
        <v>2.3027599999988575</v>
      </c>
      <c r="AF23">
        <f t="shared" si="25"/>
        <v>38.7057</v>
      </c>
      <c r="AG23">
        <f t="shared" si="26"/>
        <v>1.1540000000000035</v>
      </c>
      <c r="AH23">
        <f t="shared" si="16"/>
        <v>1.3381000000000007</v>
      </c>
      <c r="AI23">
        <f t="shared" si="17"/>
        <v>1.3917000000000002</v>
      </c>
      <c r="AJ23">
        <f t="shared" si="18"/>
        <v>1.2695800000000013</v>
      </c>
      <c r="AK23">
        <f t="shared" si="19"/>
        <v>0.99240699999885762</v>
      </c>
    </row>
    <row r="24" spans="1:37" x14ac:dyDescent="0.25">
      <c r="A24">
        <v>35</v>
      </c>
      <c r="B24">
        <v>-8</v>
      </c>
      <c r="C24">
        <v>20</v>
      </c>
      <c r="D24">
        <v>-37.435499999999998</v>
      </c>
      <c r="E24">
        <f t="shared" si="20"/>
        <v>1.8045000000000044</v>
      </c>
      <c r="G24">
        <v>45</v>
      </c>
      <c r="H24">
        <v>-9</v>
      </c>
      <c r="I24">
        <v>20</v>
      </c>
      <c r="J24">
        <v>-27.301600000000001</v>
      </c>
      <c r="K24">
        <f t="shared" si="21"/>
        <v>2.1283999999999992</v>
      </c>
      <c r="M24">
        <v>55</v>
      </c>
      <c r="N24">
        <v>-10</v>
      </c>
      <c r="O24">
        <v>20</v>
      </c>
      <c r="P24">
        <v>-17.3687</v>
      </c>
      <c r="Q24">
        <f t="shared" si="22"/>
        <v>2.2513000000000005</v>
      </c>
      <c r="S24">
        <v>65</v>
      </c>
      <c r="T24">
        <v>-11</v>
      </c>
      <c r="U24">
        <v>20</v>
      </c>
      <c r="V24">
        <v>-7.72865</v>
      </c>
      <c r="W24">
        <f t="shared" si="23"/>
        <v>2.0813500000000005</v>
      </c>
      <c r="Y24">
        <v>75</v>
      </c>
      <c r="Z24">
        <v>-12</v>
      </c>
      <c r="AA24">
        <v>20</v>
      </c>
      <c r="AB24">
        <v>1.63337</v>
      </c>
      <c r="AC24">
        <f t="shared" si="24"/>
        <v>1.6333699999988576</v>
      </c>
      <c r="AF24">
        <f t="shared" si="25"/>
        <v>46.039200000000001</v>
      </c>
      <c r="AG24">
        <f t="shared" si="26"/>
        <v>0.79390000000000072</v>
      </c>
      <c r="AH24">
        <f t="shared" si="16"/>
        <v>0.90899999999999892</v>
      </c>
      <c r="AI24">
        <f t="shared" si="17"/>
        <v>0.9375</v>
      </c>
      <c r="AJ24">
        <f t="shared" si="18"/>
        <v>0.85503000000000107</v>
      </c>
      <c r="AK24">
        <f t="shared" si="19"/>
        <v>0.67221299999885753</v>
      </c>
    </row>
    <row r="25" spans="1:37" x14ac:dyDescent="0.25">
      <c r="AF25">
        <f t="shared" si="25"/>
        <v>59.372500000000002</v>
      </c>
      <c r="AG25">
        <f t="shared" si="26"/>
        <v>0.4953000000000003</v>
      </c>
      <c r="AH25">
        <f t="shared" si="16"/>
        <v>0.56099999999999994</v>
      </c>
      <c r="AI25">
        <f t="shared" si="17"/>
        <v>0.57380000000000209</v>
      </c>
      <c r="AJ25">
        <f t="shared" si="18"/>
        <v>0.52106999999999992</v>
      </c>
      <c r="AK25">
        <f t="shared" si="19"/>
        <v>0.40952699999885755</v>
      </c>
    </row>
    <row r="26" spans="1:37" x14ac:dyDescent="0.25">
      <c r="A26" t="s">
        <v>5</v>
      </c>
      <c r="G26" t="s">
        <v>16</v>
      </c>
      <c r="M26" t="s">
        <v>23</v>
      </c>
      <c r="S26" t="s">
        <v>30</v>
      </c>
      <c r="Y26" t="s">
        <v>37</v>
      </c>
      <c r="AF26">
        <f t="shared" si="25"/>
        <v>60</v>
      </c>
      <c r="AG26">
        <f t="shared" si="26"/>
        <v>0.48210000000000264</v>
      </c>
      <c r="AH26">
        <f t="shared" si="16"/>
        <v>0.54570000000000007</v>
      </c>
      <c r="AI26">
        <f t="shared" si="17"/>
        <v>0.5578000000000003</v>
      </c>
      <c r="AJ26">
        <f t="shared" si="18"/>
        <v>0.50631000000000093</v>
      </c>
      <c r="AK26">
        <f t="shared" si="19"/>
        <v>0.39789999999885756</v>
      </c>
    </row>
    <row r="27" spans="1:37" x14ac:dyDescent="0.25">
      <c r="A27" t="s">
        <v>1</v>
      </c>
      <c r="B27" t="s">
        <v>10</v>
      </c>
      <c r="C27" t="s">
        <v>11</v>
      </c>
      <c r="D27" t="s">
        <v>12</v>
      </c>
      <c r="E27" t="s">
        <v>9</v>
      </c>
      <c r="G27" t="s">
        <v>1</v>
      </c>
      <c r="H27" t="s">
        <v>10</v>
      </c>
      <c r="I27" t="s">
        <v>11</v>
      </c>
      <c r="J27" t="s">
        <v>12</v>
      </c>
      <c r="K27" t="s">
        <v>9</v>
      </c>
      <c r="M27" t="s">
        <v>1</v>
      </c>
      <c r="N27" t="s">
        <v>10</v>
      </c>
      <c r="O27" t="s">
        <v>11</v>
      </c>
      <c r="P27" t="s">
        <v>12</v>
      </c>
      <c r="Q27" t="s">
        <v>9</v>
      </c>
      <c r="S27" t="s">
        <v>1</v>
      </c>
      <c r="T27" t="s">
        <v>10</v>
      </c>
      <c r="U27" t="s">
        <v>11</v>
      </c>
      <c r="V27" t="s">
        <v>12</v>
      </c>
      <c r="W27" t="s">
        <v>9</v>
      </c>
      <c r="Y27" t="s">
        <v>1</v>
      </c>
      <c r="Z27" t="s">
        <v>10</v>
      </c>
      <c r="AA27" t="s">
        <v>11</v>
      </c>
      <c r="AB27" t="s">
        <v>12</v>
      </c>
      <c r="AC27" t="s">
        <v>9</v>
      </c>
      <c r="AF27">
        <f>C39</f>
        <v>60</v>
      </c>
      <c r="AG27">
        <f>E39</f>
        <v>0.48210000000000264</v>
      </c>
      <c r="AH27">
        <f>K39</f>
        <v>0.54570000000000007</v>
      </c>
      <c r="AI27">
        <f>Q39</f>
        <v>0.5578000000000003</v>
      </c>
      <c r="AJ27">
        <f>W39</f>
        <v>0.50631000000000093</v>
      </c>
      <c r="AK27">
        <f>AC39</f>
        <v>0.39789999999885756</v>
      </c>
    </row>
    <row r="28" spans="1:37" x14ac:dyDescent="0.25">
      <c r="A28">
        <v>35</v>
      </c>
      <c r="B28">
        <v>-8</v>
      </c>
      <c r="C28">
        <v>20</v>
      </c>
      <c r="D28">
        <v>-37.435499999999998</v>
      </c>
      <c r="E28">
        <f t="shared" ref="E28:E35" si="27">D28-D$5</f>
        <v>1.8045000000000044</v>
      </c>
      <c r="G28">
        <v>45</v>
      </c>
      <c r="H28">
        <v>-9</v>
      </c>
      <c r="I28">
        <v>20</v>
      </c>
      <c r="J28">
        <v>-27.301600000000001</v>
      </c>
      <c r="K28">
        <f t="shared" ref="K28:K35" si="28">J28-J$5</f>
        <v>2.1283999999999992</v>
      </c>
      <c r="M28">
        <v>55</v>
      </c>
      <c r="N28">
        <v>-10</v>
      </c>
      <c r="O28">
        <v>20</v>
      </c>
      <c r="P28">
        <v>-17.3687</v>
      </c>
      <c r="Q28">
        <f t="shared" ref="Q28:Q35" si="29">P28-P$5</f>
        <v>2.2513000000000005</v>
      </c>
      <c r="S28">
        <v>65</v>
      </c>
      <c r="T28">
        <v>-11</v>
      </c>
      <c r="U28">
        <v>20</v>
      </c>
      <c r="V28">
        <v>-7.72865</v>
      </c>
      <c r="W28">
        <f t="shared" ref="W28:W35" si="30">V28-V$5</f>
        <v>2.0813500000000005</v>
      </c>
      <c r="Y28">
        <v>75</v>
      </c>
      <c r="Z28">
        <v>-12</v>
      </c>
      <c r="AA28">
        <v>20</v>
      </c>
      <c r="AB28">
        <v>1.63337</v>
      </c>
      <c r="AC28">
        <f t="shared" ref="AC28:AC35" si="31">AB28-AB$5</f>
        <v>1.6333699999988576</v>
      </c>
      <c r="AF28">
        <f t="shared" ref="AF28:AF30" si="32">C40</f>
        <v>60.333300000000001</v>
      </c>
      <c r="AG28">
        <f t="shared" ref="AG28:AG30" si="33">E40</f>
        <v>0.47490000000000521</v>
      </c>
      <c r="AH28">
        <f>K40</f>
        <v>0.5373999999999981</v>
      </c>
      <c r="AI28">
        <f>Q40</f>
        <v>0.54920000000000258</v>
      </c>
      <c r="AJ28">
        <f>W40</f>
        <v>0.49847000000000108</v>
      </c>
      <c r="AK28">
        <f>AC40</f>
        <v>0.39171899999885756</v>
      </c>
    </row>
    <row r="29" spans="1:37" x14ac:dyDescent="0.25">
      <c r="A29">
        <v>35</v>
      </c>
      <c r="B29">
        <v>-8</v>
      </c>
      <c r="C29">
        <v>22.019300000000001</v>
      </c>
      <c r="D29">
        <v>-32.299700000000001</v>
      </c>
      <c r="E29">
        <f t="shared" si="27"/>
        <v>6.9403000000000006</v>
      </c>
      <c r="G29">
        <v>45</v>
      </c>
      <c r="H29">
        <v>-9</v>
      </c>
      <c r="I29">
        <v>22.019300000000001</v>
      </c>
      <c r="J29">
        <v>-20.559699999999999</v>
      </c>
      <c r="K29">
        <f t="shared" si="28"/>
        <v>8.8703000000000003</v>
      </c>
      <c r="M29">
        <v>55</v>
      </c>
      <c r="N29">
        <v>-10</v>
      </c>
      <c r="O29">
        <v>22.019300000000001</v>
      </c>
      <c r="P29">
        <v>-10.2234</v>
      </c>
      <c r="Q29">
        <f t="shared" si="29"/>
        <v>9.3966000000000012</v>
      </c>
      <c r="S29">
        <v>65</v>
      </c>
      <c r="T29">
        <v>-11</v>
      </c>
      <c r="U29">
        <v>22.019300000000001</v>
      </c>
      <c r="V29">
        <v>-1.86585</v>
      </c>
      <c r="W29">
        <f t="shared" si="30"/>
        <v>7.9441500000000005</v>
      </c>
      <c r="Y29">
        <v>75</v>
      </c>
      <c r="Z29">
        <v>-12</v>
      </c>
      <c r="AA29">
        <v>22.019300000000001</v>
      </c>
      <c r="AB29">
        <v>5.7620199999999997</v>
      </c>
      <c r="AC29">
        <f t="shared" si="31"/>
        <v>5.7620199999988575</v>
      </c>
      <c r="AF29">
        <f t="shared" si="32"/>
        <v>60.666699999999999</v>
      </c>
      <c r="AG29">
        <f t="shared" si="33"/>
        <v>0.46800000000000352</v>
      </c>
      <c r="AH29">
        <f>K41</f>
        <v>0.52949999999999875</v>
      </c>
      <c r="AI29">
        <f>Q41</f>
        <v>0.5409000000000006</v>
      </c>
      <c r="AJ29">
        <f>W41</f>
        <v>0.49088000000000065</v>
      </c>
      <c r="AK29">
        <f>AC41</f>
        <v>0.38573899999885758</v>
      </c>
    </row>
    <row r="30" spans="1:37" x14ac:dyDescent="0.25">
      <c r="A30">
        <v>35</v>
      </c>
      <c r="B30">
        <v>-8</v>
      </c>
      <c r="C30">
        <v>24.038599999999999</v>
      </c>
      <c r="D30">
        <v>-34.605699999999999</v>
      </c>
      <c r="E30">
        <f t="shared" si="27"/>
        <v>4.6343000000000032</v>
      </c>
      <c r="G30">
        <v>45</v>
      </c>
      <c r="H30">
        <v>-9</v>
      </c>
      <c r="I30">
        <v>24.038599999999999</v>
      </c>
      <c r="J30">
        <v>-23.770900000000001</v>
      </c>
      <c r="K30">
        <f t="shared" si="28"/>
        <v>5.6590999999999987</v>
      </c>
      <c r="M30">
        <v>55</v>
      </c>
      <c r="N30">
        <v>-10</v>
      </c>
      <c r="O30">
        <v>24.038599999999999</v>
      </c>
      <c r="P30">
        <v>-13.644500000000001</v>
      </c>
      <c r="Q30">
        <f t="shared" si="29"/>
        <v>5.9755000000000003</v>
      </c>
      <c r="S30">
        <v>65</v>
      </c>
      <c r="T30">
        <v>-11</v>
      </c>
      <c r="U30">
        <v>24.038599999999999</v>
      </c>
      <c r="V30">
        <v>-4.5627899999999997</v>
      </c>
      <c r="W30">
        <f t="shared" si="30"/>
        <v>5.2472100000000008</v>
      </c>
      <c r="Y30">
        <v>75</v>
      </c>
      <c r="Z30">
        <v>-12</v>
      </c>
      <c r="AA30">
        <v>24.038599999999999</v>
      </c>
      <c r="AB30">
        <v>3.9092600000000002</v>
      </c>
      <c r="AC30">
        <f t="shared" si="31"/>
        <v>3.9092599999988575</v>
      </c>
      <c r="AF30">
        <f t="shared" si="32"/>
        <v>61</v>
      </c>
      <c r="AG30">
        <f t="shared" si="33"/>
        <v>0.46130000000000138</v>
      </c>
      <c r="AH30">
        <f>K42</f>
        <v>0.52169999999999916</v>
      </c>
      <c r="AI30">
        <f>Q42</f>
        <v>0.53290000000000148</v>
      </c>
      <c r="AJ30">
        <f>W42</f>
        <v>0.48348999999999975</v>
      </c>
      <c r="AK30">
        <f>AC42</f>
        <v>0.37991199999885761</v>
      </c>
    </row>
    <row r="31" spans="1:37" x14ac:dyDescent="0.25">
      <c r="A31">
        <v>35</v>
      </c>
      <c r="B31">
        <v>-8</v>
      </c>
      <c r="C31">
        <v>31.372199999999999</v>
      </c>
      <c r="D31">
        <v>-37.238999999999997</v>
      </c>
      <c r="E31">
        <f t="shared" si="27"/>
        <v>2.0010000000000048</v>
      </c>
      <c r="G31">
        <v>45</v>
      </c>
      <c r="H31">
        <v>-9</v>
      </c>
      <c r="I31">
        <v>31.372199999999999</v>
      </c>
      <c r="J31">
        <v>-27.061599999999999</v>
      </c>
      <c r="K31">
        <f t="shared" si="28"/>
        <v>2.3684000000000012</v>
      </c>
      <c r="M31">
        <v>55</v>
      </c>
      <c r="N31">
        <v>-10</v>
      </c>
      <c r="O31">
        <v>31.372199999999999</v>
      </c>
      <c r="P31">
        <v>-17.132100000000001</v>
      </c>
      <c r="Q31">
        <f t="shared" si="29"/>
        <v>2.4878999999999998</v>
      </c>
      <c r="S31">
        <v>65</v>
      </c>
      <c r="T31">
        <v>-11</v>
      </c>
      <c r="U31">
        <v>31.372199999999999</v>
      </c>
      <c r="V31">
        <v>-7.5597399999999997</v>
      </c>
      <c r="W31">
        <f t="shared" si="30"/>
        <v>2.2502600000000008</v>
      </c>
      <c r="Y31">
        <v>75</v>
      </c>
      <c r="Z31">
        <v>-12</v>
      </c>
      <c r="AA31">
        <v>31.372199999999999</v>
      </c>
      <c r="AB31">
        <v>1.7295799999999999</v>
      </c>
      <c r="AC31">
        <f t="shared" si="31"/>
        <v>1.7295799999988575</v>
      </c>
      <c r="AF31">
        <f>C46</f>
        <v>61</v>
      </c>
      <c r="AG31">
        <f>E46</f>
        <v>0.46130000000000138</v>
      </c>
      <c r="AH31">
        <f>K46</f>
        <v>0.52169999999999916</v>
      </c>
      <c r="AI31">
        <f>Q46</f>
        <v>0.53290000000000148</v>
      </c>
      <c r="AJ31">
        <f>W46</f>
        <v>0.48348999999999975</v>
      </c>
      <c r="AK31">
        <f>AC46</f>
        <v>0.37991199999885761</v>
      </c>
    </row>
    <row r="32" spans="1:37" x14ac:dyDescent="0.25">
      <c r="A32">
        <v>35</v>
      </c>
      <c r="B32">
        <v>-8</v>
      </c>
      <c r="C32">
        <v>38.7057</v>
      </c>
      <c r="D32">
        <v>-38.085999999999999</v>
      </c>
      <c r="E32">
        <f t="shared" si="27"/>
        <v>1.1540000000000035</v>
      </c>
      <c r="G32">
        <v>45</v>
      </c>
      <c r="H32">
        <v>-9</v>
      </c>
      <c r="I32">
        <v>38.7057</v>
      </c>
      <c r="J32">
        <v>-28.091899999999999</v>
      </c>
      <c r="K32">
        <f t="shared" si="28"/>
        <v>1.3381000000000007</v>
      </c>
      <c r="M32">
        <v>55</v>
      </c>
      <c r="N32">
        <v>-10</v>
      </c>
      <c r="O32">
        <v>38.7057</v>
      </c>
      <c r="P32">
        <v>-18.228300000000001</v>
      </c>
      <c r="Q32">
        <f t="shared" si="29"/>
        <v>1.3917000000000002</v>
      </c>
      <c r="S32">
        <v>65</v>
      </c>
      <c r="T32">
        <v>-11</v>
      </c>
      <c r="U32">
        <v>38.7057</v>
      </c>
      <c r="V32">
        <v>-8.5404199999999992</v>
      </c>
      <c r="W32">
        <f t="shared" si="30"/>
        <v>1.2695800000000013</v>
      </c>
      <c r="Y32">
        <v>75</v>
      </c>
      <c r="Z32">
        <v>-12</v>
      </c>
      <c r="AA32">
        <v>38.7057</v>
      </c>
      <c r="AB32">
        <v>0.99240700000000004</v>
      </c>
      <c r="AC32">
        <f t="shared" si="31"/>
        <v>0.99240699999885762</v>
      </c>
      <c r="AF32">
        <f t="shared" ref="AF32:AF34" si="34">C47</f>
        <v>61.333300000000001</v>
      </c>
      <c r="AG32">
        <f t="shared" ref="AG32:AG34" si="35">E47</f>
        <v>0.45490000000000208</v>
      </c>
      <c r="AH32">
        <f>K47</f>
        <v>0.51419999999999888</v>
      </c>
      <c r="AI32">
        <f>Q47</f>
        <v>0.5251000000000019</v>
      </c>
      <c r="AJ32">
        <f>W47</f>
        <v>0.47630000000000017</v>
      </c>
      <c r="AK32">
        <f>AC47</f>
        <v>0.37423299999885756</v>
      </c>
    </row>
    <row r="33" spans="1:37" x14ac:dyDescent="0.25">
      <c r="A33">
        <v>35</v>
      </c>
      <c r="B33">
        <v>-8</v>
      </c>
      <c r="C33">
        <v>46.039200000000001</v>
      </c>
      <c r="D33">
        <v>-38.446100000000001</v>
      </c>
      <c r="E33">
        <f t="shared" si="27"/>
        <v>0.79390000000000072</v>
      </c>
      <c r="G33">
        <v>45</v>
      </c>
      <c r="H33">
        <v>-9</v>
      </c>
      <c r="I33">
        <v>46.039200000000001</v>
      </c>
      <c r="J33">
        <v>-28.521000000000001</v>
      </c>
      <c r="K33">
        <f t="shared" si="28"/>
        <v>0.90899999999999892</v>
      </c>
      <c r="M33">
        <v>55</v>
      </c>
      <c r="N33">
        <v>-10</v>
      </c>
      <c r="O33">
        <v>46.039200000000001</v>
      </c>
      <c r="P33">
        <v>-18.682500000000001</v>
      </c>
      <c r="Q33">
        <f t="shared" si="29"/>
        <v>0.9375</v>
      </c>
      <c r="S33">
        <v>65</v>
      </c>
      <c r="T33">
        <v>-11</v>
      </c>
      <c r="U33">
        <v>46.039200000000001</v>
      </c>
      <c r="V33">
        <v>-8.9549699999999994</v>
      </c>
      <c r="W33">
        <f t="shared" si="30"/>
        <v>0.85503000000000107</v>
      </c>
      <c r="Y33">
        <v>75</v>
      </c>
      <c r="Z33">
        <v>-12</v>
      </c>
      <c r="AA33">
        <v>46.039200000000001</v>
      </c>
      <c r="AB33">
        <v>0.67221299999999995</v>
      </c>
      <c r="AC33">
        <f t="shared" si="31"/>
        <v>0.67221299999885753</v>
      </c>
      <c r="AF33">
        <f t="shared" si="34"/>
        <v>61.666699999999999</v>
      </c>
      <c r="AG33">
        <f t="shared" si="35"/>
        <v>0.44850000000000279</v>
      </c>
      <c r="AH33">
        <f>K48</f>
        <v>0.50689999999999813</v>
      </c>
      <c r="AI33">
        <f>Q48</f>
        <v>0.51740000000000208</v>
      </c>
      <c r="AJ33">
        <f>W48</f>
        <v>0.46928000000000125</v>
      </c>
      <c r="AK33">
        <f>AC48</f>
        <v>0.3686919999988576</v>
      </c>
    </row>
    <row r="34" spans="1:37" x14ac:dyDescent="0.25">
      <c r="A34">
        <v>35</v>
      </c>
      <c r="B34">
        <v>-8</v>
      </c>
      <c r="C34">
        <v>59.372500000000002</v>
      </c>
      <c r="D34">
        <v>-38.744700000000002</v>
      </c>
      <c r="E34">
        <f t="shared" si="27"/>
        <v>0.4953000000000003</v>
      </c>
      <c r="G34">
        <v>45</v>
      </c>
      <c r="H34">
        <v>-9</v>
      </c>
      <c r="I34">
        <v>59.372500000000002</v>
      </c>
      <c r="J34">
        <v>-28.869</v>
      </c>
      <c r="K34">
        <f t="shared" si="28"/>
        <v>0.56099999999999994</v>
      </c>
      <c r="M34">
        <v>55</v>
      </c>
      <c r="N34">
        <v>-10</v>
      </c>
      <c r="O34">
        <v>59.372500000000002</v>
      </c>
      <c r="P34">
        <v>-19.046199999999999</v>
      </c>
      <c r="Q34">
        <f t="shared" si="29"/>
        <v>0.57380000000000209</v>
      </c>
      <c r="S34">
        <v>65</v>
      </c>
      <c r="T34">
        <v>-11</v>
      </c>
      <c r="U34">
        <v>59.372500000000002</v>
      </c>
      <c r="V34">
        <v>-9.2889300000000006</v>
      </c>
      <c r="W34">
        <f t="shared" si="30"/>
        <v>0.52106999999999992</v>
      </c>
      <c r="Y34">
        <v>75</v>
      </c>
      <c r="Z34">
        <v>-12</v>
      </c>
      <c r="AA34">
        <v>59.372500000000002</v>
      </c>
      <c r="AB34">
        <v>0.40952699999999997</v>
      </c>
      <c r="AC34">
        <f t="shared" si="31"/>
        <v>0.40952699999885755</v>
      </c>
      <c r="AF34">
        <f t="shared" si="34"/>
        <v>62</v>
      </c>
      <c r="AG34">
        <f t="shared" si="35"/>
        <v>0.44230000000000302</v>
      </c>
      <c r="AH34">
        <f>K49</f>
        <v>0.4997000000000007</v>
      </c>
      <c r="AI34">
        <f>Q49</f>
        <v>0.51000000000000156</v>
      </c>
      <c r="AJ34">
        <f>W49</f>
        <v>0.46243000000000123</v>
      </c>
      <c r="AK34">
        <f>AC49</f>
        <v>0.3632749999988576</v>
      </c>
    </row>
    <row r="35" spans="1:37" x14ac:dyDescent="0.25">
      <c r="A35">
        <v>35</v>
      </c>
      <c r="B35">
        <v>-8</v>
      </c>
      <c r="C35">
        <v>60</v>
      </c>
      <c r="D35">
        <v>-38.757899999999999</v>
      </c>
      <c r="E35">
        <f t="shared" si="27"/>
        <v>0.48210000000000264</v>
      </c>
      <c r="G35">
        <v>45</v>
      </c>
      <c r="H35">
        <v>-9</v>
      </c>
      <c r="I35">
        <v>60</v>
      </c>
      <c r="J35">
        <v>-28.8843</v>
      </c>
      <c r="K35">
        <f t="shared" si="28"/>
        <v>0.54570000000000007</v>
      </c>
      <c r="M35">
        <v>55</v>
      </c>
      <c r="N35">
        <v>-10</v>
      </c>
      <c r="O35">
        <v>60</v>
      </c>
      <c r="P35">
        <v>-19.062200000000001</v>
      </c>
      <c r="Q35">
        <f t="shared" si="29"/>
        <v>0.5578000000000003</v>
      </c>
      <c r="S35">
        <v>65</v>
      </c>
      <c r="T35">
        <v>-11</v>
      </c>
      <c r="U35">
        <v>60</v>
      </c>
      <c r="V35">
        <v>-9.3036899999999996</v>
      </c>
      <c r="W35">
        <f t="shared" si="30"/>
        <v>0.50631000000000093</v>
      </c>
      <c r="Y35">
        <v>75</v>
      </c>
      <c r="Z35">
        <v>-12</v>
      </c>
      <c r="AA35">
        <v>60</v>
      </c>
      <c r="AB35">
        <v>0.39789999999999998</v>
      </c>
      <c r="AC35">
        <f t="shared" si="31"/>
        <v>0.39789999999885756</v>
      </c>
      <c r="AF35">
        <f>C53</f>
        <v>62</v>
      </c>
      <c r="AG35">
        <f>E53</f>
        <v>0.44230000000000302</v>
      </c>
      <c r="AH35">
        <f>K53</f>
        <v>0.4997000000000007</v>
      </c>
      <c r="AI35">
        <f>Q53</f>
        <v>0.51000000000000156</v>
      </c>
      <c r="AJ35">
        <f>W53</f>
        <v>0.46243000000000123</v>
      </c>
      <c r="AK35">
        <f>AC53</f>
        <v>0.3632749999988576</v>
      </c>
    </row>
    <row r="36" spans="1:37" x14ac:dyDescent="0.25">
      <c r="AF36">
        <f t="shared" ref="AF36:AF38" si="36">C54</f>
        <v>63</v>
      </c>
      <c r="AG36">
        <f t="shared" ref="AG36:AG38" si="37">E54</f>
        <v>0.42470000000000141</v>
      </c>
      <c r="AH36">
        <f>K54</f>
        <v>0.47929999999999851</v>
      </c>
      <c r="AI36">
        <f>Q54</f>
        <v>0.48880000000000123</v>
      </c>
      <c r="AJ36">
        <f>W54</f>
        <v>0.44302000000000064</v>
      </c>
      <c r="AK36">
        <f>AC54</f>
        <v>0.3479299999988576</v>
      </c>
    </row>
    <row r="37" spans="1:37" x14ac:dyDescent="0.25">
      <c r="A37" t="s">
        <v>6</v>
      </c>
      <c r="G37" t="s">
        <v>17</v>
      </c>
      <c r="M37" t="s">
        <v>24</v>
      </c>
      <c r="S37" t="s">
        <v>31</v>
      </c>
      <c r="Y37" t="s">
        <v>38</v>
      </c>
      <c r="AF37">
        <f t="shared" si="36"/>
        <v>64</v>
      </c>
      <c r="AG37">
        <f t="shared" si="37"/>
        <v>0.40810000000000457</v>
      </c>
      <c r="AH37">
        <f>K55</f>
        <v>0.46020000000000039</v>
      </c>
      <c r="AI37">
        <f>Q55</f>
        <v>0.46890000000000143</v>
      </c>
      <c r="AJ37">
        <f>W55</f>
        <v>0.42476000000000091</v>
      </c>
      <c r="AK37">
        <f>AC55</f>
        <v>0.33348899999885756</v>
      </c>
    </row>
    <row r="38" spans="1:37" x14ac:dyDescent="0.25">
      <c r="A38" t="s">
        <v>1</v>
      </c>
      <c r="B38" t="s">
        <v>10</v>
      </c>
      <c r="C38" t="s">
        <v>11</v>
      </c>
      <c r="D38" t="s">
        <v>12</v>
      </c>
      <c r="E38" t="s">
        <v>9</v>
      </c>
      <c r="G38" t="s">
        <v>1</v>
      </c>
      <c r="H38" t="s">
        <v>10</v>
      </c>
      <c r="I38" t="s">
        <v>11</v>
      </c>
      <c r="J38" t="s">
        <v>12</v>
      </c>
      <c r="K38" t="s">
        <v>9</v>
      </c>
      <c r="M38" t="s">
        <v>1</v>
      </c>
      <c r="N38" t="s">
        <v>10</v>
      </c>
      <c r="O38" t="s">
        <v>11</v>
      </c>
      <c r="P38" t="s">
        <v>12</v>
      </c>
      <c r="Q38" t="s">
        <v>9</v>
      </c>
      <c r="S38" t="s">
        <v>1</v>
      </c>
      <c r="T38" t="s">
        <v>10</v>
      </c>
      <c r="U38" t="s">
        <v>11</v>
      </c>
      <c r="V38" t="s">
        <v>12</v>
      </c>
      <c r="W38" t="s">
        <v>9</v>
      </c>
      <c r="Y38" t="s">
        <v>1</v>
      </c>
      <c r="Z38" t="s">
        <v>10</v>
      </c>
      <c r="AA38" t="s">
        <v>11</v>
      </c>
      <c r="AB38" t="s">
        <v>12</v>
      </c>
      <c r="AC38" t="s">
        <v>9</v>
      </c>
      <c r="AF38">
        <f t="shared" si="36"/>
        <v>65</v>
      </c>
      <c r="AG38">
        <f t="shared" si="37"/>
        <v>0.39229999999999876</v>
      </c>
      <c r="AH38">
        <f>K56</f>
        <v>0.44200000000000017</v>
      </c>
      <c r="AI38">
        <f>Q56</f>
        <v>0.45010000000000261</v>
      </c>
      <c r="AJ38">
        <f>W56</f>
        <v>0.40747</v>
      </c>
      <c r="AK38">
        <f>AC56</f>
        <v>0.31980899999885759</v>
      </c>
    </row>
    <row r="39" spans="1:37" x14ac:dyDescent="0.25">
      <c r="A39">
        <v>35</v>
      </c>
      <c r="B39">
        <v>-8</v>
      </c>
      <c r="C39">
        <v>60</v>
      </c>
      <c r="D39">
        <v>-38.757899999999999</v>
      </c>
      <c r="E39">
        <f t="shared" ref="E39:E42" si="38">D39-D$5</f>
        <v>0.48210000000000264</v>
      </c>
      <c r="G39">
        <v>45</v>
      </c>
      <c r="H39">
        <v>-9</v>
      </c>
      <c r="I39">
        <v>60</v>
      </c>
      <c r="J39">
        <v>-28.8843</v>
      </c>
      <c r="K39">
        <f t="shared" ref="K39:K42" si="39">J39-J$5</f>
        <v>0.54570000000000007</v>
      </c>
      <c r="M39">
        <v>55</v>
      </c>
      <c r="N39">
        <v>-10</v>
      </c>
      <c r="O39">
        <v>60</v>
      </c>
      <c r="P39">
        <v>-19.062200000000001</v>
      </c>
      <c r="Q39">
        <f t="shared" ref="Q39:Q42" si="40">P39-P$5</f>
        <v>0.5578000000000003</v>
      </c>
      <c r="S39">
        <v>65</v>
      </c>
      <c r="T39">
        <v>-11</v>
      </c>
      <c r="U39">
        <v>60</v>
      </c>
      <c r="V39">
        <v>-9.3036899999999996</v>
      </c>
      <c r="W39">
        <f t="shared" ref="W39:W42" si="41">V39-V$5</f>
        <v>0.50631000000000093</v>
      </c>
      <c r="Y39">
        <v>75</v>
      </c>
      <c r="Z39">
        <v>-12</v>
      </c>
      <c r="AA39">
        <v>60</v>
      </c>
      <c r="AB39">
        <v>0.39789999999999998</v>
      </c>
      <c r="AC39">
        <f t="shared" ref="AC39:AC42" si="42">AB39-AB$5</f>
        <v>0.39789999999885756</v>
      </c>
    </row>
    <row r="40" spans="1:37" x14ac:dyDescent="0.25">
      <c r="A40">
        <v>35</v>
      </c>
      <c r="B40">
        <v>-8</v>
      </c>
      <c r="C40">
        <v>60.333300000000001</v>
      </c>
      <c r="D40">
        <v>-38.765099999999997</v>
      </c>
      <c r="E40">
        <f t="shared" si="38"/>
        <v>0.47490000000000521</v>
      </c>
      <c r="G40">
        <v>45</v>
      </c>
      <c r="H40">
        <v>-9</v>
      </c>
      <c r="I40">
        <v>60.333300000000001</v>
      </c>
      <c r="J40">
        <v>-28.892600000000002</v>
      </c>
      <c r="K40">
        <f t="shared" si="39"/>
        <v>0.5373999999999981</v>
      </c>
      <c r="M40">
        <v>55</v>
      </c>
      <c r="N40">
        <v>-10</v>
      </c>
      <c r="O40">
        <v>60.333300000000001</v>
      </c>
      <c r="P40">
        <v>-19.070799999999998</v>
      </c>
      <c r="Q40">
        <f t="shared" si="40"/>
        <v>0.54920000000000258</v>
      </c>
      <c r="S40">
        <v>65</v>
      </c>
      <c r="T40">
        <v>-11</v>
      </c>
      <c r="U40">
        <v>60.333300000000001</v>
      </c>
      <c r="V40">
        <v>-9.3115299999999994</v>
      </c>
      <c r="W40">
        <f t="shared" si="41"/>
        <v>0.49847000000000108</v>
      </c>
      <c r="Y40">
        <v>75</v>
      </c>
      <c r="Z40">
        <v>-12</v>
      </c>
      <c r="AA40">
        <v>60.333300000000001</v>
      </c>
      <c r="AB40">
        <v>0.39171899999999998</v>
      </c>
      <c r="AC40">
        <f t="shared" si="42"/>
        <v>0.39171899999885756</v>
      </c>
    </row>
    <row r="41" spans="1:37" x14ac:dyDescent="0.25">
      <c r="A41">
        <v>35</v>
      </c>
      <c r="B41">
        <v>-8</v>
      </c>
      <c r="C41">
        <v>60.666699999999999</v>
      </c>
      <c r="D41">
        <v>-38.771999999999998</v>
      </c>
      <c r="E41">
        <f t="shared" si="38"/>
        <v>0.46800000000000352</v>
      </c>
      <c r="G41">
        <v>45</v>
      </c>
      <c r="H41">
        <v>-9</v>
      </c>
      <c r="I41">
        <v>60.666699999999999</v>
      </c>
      <c r="J41">
        <v>-28.900500000000001</v>
      </c>
      <c r="K41">
        <f t="shared" si="39"/>
        <v>0.52949999999999875</v>
      </c>
      <c r="M41">
        <v>55</v>
      </c>
      <c r="N41">
        <v>-10</v>
      </c>
      <c r="O41">
        <v>60.666699999999999</v>
      </c>
      <c r="P41">
        <v>-19.0791</v>
      </c>
      <c r="Q41">
        <f t="shared" si="40"/>
        <v>0.5409000000000006</v>
      </c>
      <c r="S41">
        <v>65</v>
      </c>
      <c r="T41">
        <v>-11</v>
      </c>
      <c r="U41">
        <v>60.666699999999999</v>
      </c>
      <c r="V41">
        <v>-9.3191199999999998</v>
      </c>
      <c r="W41">
        <f t="shared" si="41"/>
        <v>0.49088000000000065</v>
      </c>
      <c r="Y41">
        <v>75</v>
      </c>
      <c r="Z41">
        <v>-12</v>
      </c>
      <c r="AA41">
        <v>60.666699999999999</v>
      </c>
      <c r="AB41">
        <v>0.385739</v>
      </c>
      <c r="AC41">
        <f t="shared" si="42"/>
        <v>0.38573899999885758</v>
      </c>
    </row>
    <row r="42" spans="1:37" x14ac:dyDescent="0.25">
      <c r="A42">
        <v>35</v>
      </c>
      <c r="B42">
        <v>-8</v>
      </c>
      <c r="C42">
        <v>61</v>
      </c>
      <c r="D42">
        <v>-38.778700000000001</v>
      </c>
      <c r="E42">
        <f t="shared" si="38"/>
        <v>0.46130000000000138</v>
      </c>
      <c r="G42">
        <v>45</v>
      </c>
      <c r="H42">
        <v>-9</v>
      </c>
      <c r="I42">
        <v>61</v>
      </c>
      <c r="J42">
        <v>-28.908300000000001</v>
      </c>
      <c r="K42">
        <f t="shared" si="39"/>
        <v>0.52169999999999916</v>
      </c>
      <c r="M42">
        <v>55</v>
      </c>
      <c r="N42">
        <v>-10</v>
      </c>
      <c r="O42">
        <v>61</v>
      </c>
      <c r="P42">
        <v>-19.0871</v>
      </c>
      <c r="Q42">
        <f t="shared" si="40"/>
        <v>0.53290000000000148</v>
      </c>
      <c r="S42">
        <v>65</v>
      </c>
      <c r="T42">
        <v>-11</v>
      </c>
      <c r="U42">
        <v>61</v>
      </c>
      <c r="V42">
        <v>-9.3265100000000007</v>
      </c>
      <c r="W42">
        <f t="shared" si="41"/>
        <v>0.48348999999999975</v>
      </c>
      <c r="Y42">
        <v>75</v>
      </c>
      <c r="Z42">
        <v>-12</v>
      </c>
      <c r="AA42">
        <v>61</v>
      </c>
      <c r="AB42">
        <v>0.37991200000000003</v>
      </c>
      <c r="AC42">
        <f t="shared" si="42"/>
        <v>0.37991199999885761</v>
      </c>
    </row>
    <row r="44" spans="1:37" x14ac:dyDescent="0.25">
      <c r="A44" t="s">
        <v>7</v>
      </c>
      <c r="G44" t="s">
        <v>18</v>
      </c>
      <c r="M44" t="s">
        <v>25</v>
      </c>
      <c r="S44" t="s">
        <v>32</v>
      </c>
      <c r="Y44" t="s">
        <v>39</v>
      </c>
    </row>
    <row r="45" spans="1:37" x14ac:dyDescent="0.25">
      <c r="A45" t="s">
        <v>1</v>
      </c>
      <c r="B45" t="s">
        <v>10</v>
      </c>
      <c r="C45" t="s">
        <v>11</v>
      </c>
      <c r="D45" t="s">
        <v>12</v>
      </c>
      <c r="E45" t="s">
        <v>9</v>
      </c>
      <c r="G45" t="s">
        <v>1</v>
      </c>
      <c r="H45" t="s">
        <v>10</v>
      </c>
      <c r="I45" t="s">
        <v>11</v>
      </c>
      <c r="J45" t="s">
        <v>12</v>
      </c>
      <c r="K45" t="s">
        <v>9</v>
      </c>
      <c r="M45" t="s">
        <v>1</v>
      </c>
      <c r="N45" t="s">
        <v>10</v>
      </c>
      <c r="O45" t="s">
        <v>11</v>
      </c>
      <c r="P45" t="s">
        <v>12</v>
      </c>
      <c r="Q45" t="s">
        <v>9</v>
      </c>
      <c r="S45" t="s">
        <v>1</v>
      </c>
      <c r="T45" t="s">
        <v>10</v>
      </c>
      <c r="U45" t="s">
        <v>11</v>
      </c>
      <c r="V45" t="s">
        <v>12</v>
      </c>
      <c r="W45" t="s">
        <v>9</v>
      </c>
      <c r="Y45" t="s">
        <v>1</v>
      </c>
      <c r="Z45" t="s">
        <v>10</v>
      </c>
      <c r="AA45" t="s">
        <v>11</v>
      </c>
      <c r="AB45" t="s">
        <v>12</v>
      </c>
      <c r="AC45" t="s">
        <v>9</v>
      </c>
    </row>
    <row r="46" spans="1:37" x14ac:dyDescent="0.25">
      <c r="A46">
        <v>35</v>
      </c>
      <c r="B46">
        <v>-8</v>
      </c>
      <c r="C46">
        <v>61</v>
      </c>
      <c r="D46">
        <v>-38.778700000000001</v>
      </c>
      <c r="E46">
        <f t="shared" ref="E46:E49" si="43">D46-D$5</f>
        <v>0.46130000000000138</v>
      </c>
      <c r="G46">
        <v>45</v>
      </c>
      <c r="H46">
        <v>-9</v>
      </c>
      <c r="I46">
        <v>61</v>
      </c>
      <c r="J46">
        <v>-28.908300000000001</v>
      </c>
      <c r="K46">
        <f t="shared" ref="K46:K49" si="44">J46-J$5</f>
        <v>0.52169999999999916</v>
      </c>
      <c r="M46">
        <v>55</v>
      </c>
      <c r="N46">
        <v>-10</v>
      </c>
      <c r="O46">
        <v>61</v>
      </c>
      <c r="P46">
        <v>-19.0871</v>
      </c>
      <c r="Q46">
        <f t="shared" ref="Q46:Q49" si="45">P46-P$5</f>
        <v>0.53290000000000148</v>
      </c>
      <c r="S46">
        <v>65</v>
      </c>
      <c r="T46">
        <v>-11</v>
      </c>
      <c r="U46">
        <v>61</v>
      </c>
      <c r="V46">
        <v>-9.3265100000000007</v>
      </c>
      <c r="W46">
        <f t="shared" ref="W46:W49" si="46">V46-V$5</f>
        <v>0.48348999999999975</v>
      </c>
      <c r="Y46">
        <v>75</v>
      </c>
      <c r="Z46">
        <v>-12</v>
      </c>
      <c r="AA46">
        <v>61</v>
      </c>
      <c r="AB46">
        <v>0.37991200000000003</v>
      </c>
      <c r="AC46">
        <f t="shared" ref="AC46:AC49" si="47">AB46-AB$5</f>
        <v>0.37991199999885761</v>
      </c>
    </row>
    <row r="47" spans="1:37" x14ac:dyDescent="0.25">
      <c r="A47">
        <v>35</v>
      </c>
      <c r="B47">
        <v>-8</v>
      </c>
      <c r="C47">
        <v>61.333300000000001</v>
      </c>
      <c r="D47">
        <v>-38.7851</v>
      </c>
      <c r="E47">
        <f t="shared" si="43"/>
        <v>0.45490000000000208</v>
      </c>
      <c r="G47">
        <v>45</v>
      </c>
      <c r="H47">
        <v>-9</v>
      </c>
      <c r="I47">
        <v>61.333300000000001</v>
      </c>
      <c r="J47">
        <v>-28.915800000000001</v>
      </c>
      <c r="K47">
        <f t="shared" si="44"/>
        <v>0.51419999999999888</v>
      </c>
      <c r="M47">
        <v>55</v>
      </c>
      <c r="N47">
        <v>-10</v>
      </c>
      <c r="O47">
        <v>61.333300000000001</v>
      </c>
      <c r="P47">
        <v>-19.094899999999999</v>
      </c>
      <c r="Q47">
        <f t="shared" si="45"/>
        <v>0.5251000000000019</v>
      </c>
      <c r="S47">
        <v>65</v>
      </c>
      <c r="T47">
        <v>-11</v>
      </c>
      <c r="U47">
        <v>61.333300000000001</v>
      </c>
      <c r="V47">
        <v>-9.3337000000000003</v>
      </c>
      <c r="W47">
        <f t="shared" si="46"/>
        <v>0.47630000000000017</v>
      </c>
      <c r="Y47">
        <v>75</v>
      </c>
      <c r="Z47">
        <v>-12</v>
      </c>
      <c r="AA47">
        <v>61.333300000000001</v>
      </c>
      <c r="AB47">
        <v>0.37423299999999998</v>
      </c>
      <c r="AC47">
        <f t="shared" si="47"/>
        <v>0.37423299999885756</v>
      </c>
    </row>
    <row r="48" spans="1:37" x14ac:dyDescent="0.25">
      <c r="A48">
        <v>35</v>
      </c>
      <c r="B48">
        <v>-8</v>
      </c>
      <c r="C48">
        <v>61.666699999999999</v>
      </c>
      <c r="D48">
        <v>-38.791499999999999</v>
      </c>
      <c r="E48">
        <f t="shared" si="43"/>
        <v>0.44850000000000279</v>
      </c>
      <c r="G48">
        <v>45</v>
      </c>
      <c r="H48">
        <v>-9</v>
      </c>
      <c r="I48">
        <v>61.666699999999999</v>
      </c>
      <c r="J48">
        <v>-28.923100000000002</v>
      </c>
      <c r="K48">
        <f t="shared" si="44"/>
        <v>0.50689999999999813</v>
      </c>
      <c r="M48">
        <v>55</v>
      </c>
      <c r="N48">
        <v>-10</v>
      </c>
      <c r="O48">
        <v>61.666699999999999</v>
      </c>
      <c r="P48">
        <v>-19.102599999999999</v>
      </c>
      <c r="Q48">
        <f t="shared" si="45"/>
        <v>0.51740000000000208</v>
      </c>
      <c r="S48">
        <v>65</v>
      </c>
      <c r="T48">
        <v>-11</v>
      </c>
      <c r="U48">
        <v>61.666699999999999</v>
      </c>
      <c r="V48">
        <v>-9.3407199999999992</v>
      </c>
      <c r="W48">
        <f t="shared" si="46"/>
        <v>0.46928000000000125</v>
      </c>
      <c r="Y48">
        <v>75</v>
      </c>
      <c r="Z48">
        <v>-12</v>
      </c>
      <c r="AA48">
        <v>61.666699999999999</v>
      </c>
      <c r="AB48">
        <v>0.36869200000000002</v>
      </c>
      <c r="AC48">
        <f t="shared" si="47"/>
        <v>0.3686919999988576</v>
      </c>
    </row>
    <row r="49" spans="1:29" x14ac:dyDescent="0.25">
      <c r="A49">
        <v>35</v>
      </c>
      <c r="B49">
        <v>-8</v>
      </c>
      <c r="C49">
        <v>62</v>
      </c>
      <c r="D49">
        <v>-38.797699999999999</v>
      </c>
      <c r="E49">
        <f t="shared" si="43"/>
        <v>0.44230000000000302</v>
      </c>
      <c r="G49">
        <v>45</v>
      </c>
      <c r="H49">
        <v>-9</v>
      </c>
      <c r="I49">
        <v>62</v>
      </c>
      <c r="J49">
        <v>-28.930299999999999</v>
      </c>
      <c r="K49">
        <f t="shared" si="44"/>
        <v>0.4997000000000007</v>
      </c>
      <c r="M49">
        <v>55</v>
      </c>
      <c r="N49">
        <v>-10</v>
      </c>
      <c r="O49">
        <v>62</v>
      </c>
      <c r="P49">
        <v>-19.11</v>
      </c>
      <c r="Q49">
        <f t="shared" si="45"/>
        <v>0.51000000000000156</v>
      </c>
      <c r="S49">
        <v>65</v>
      </c>
      <c r="T49">
        <v>-11</v>
      </c>
      <c r="U49">
        <v>62</v>
      </c>
      <c r="V49">
        <v>-9.3475699999999993</v>
      </c>
      <c r="W49">
        <f t="shared" si="46"/>
        <v>0.46243000000000123</v>
      </c>
      <c r="Y49">
        <v>75</v>
      </c>
      <c r="Z49">
        <v>-12</v>
      </c>
      <c r="AA49">
        <v>62</v>
      </c>
      <c r="AB49">
        <v>0.36327500000000001</v>
      </c>
      <c r="AC49">
        <f t="shared" si="47"/>
        <v>0.3632749999988576</v>
      </c>
    </row>
    <row r="51" spans="1:29" x14ac:dyDescent="0.25">
      <c r="A51" t="s">
        <v>8</v>
      </c>
      <c r="G51" t="s">
        <v>19</v>
      </c>
      <c r="M51" t="s">
        <v>26</v>
      </c>
      <c r="S51" t="s">
        <v>33</v>
      </c>
      <c r="Y51" t="s">
        <v>40</v>
      </c>
    </row>
    <row r="52" spans="1:29" x14ac:dyDescent="0.25">
      <c r="A52" t="s">
        <v>1</v>
      </c>
      <c r="B52" t="s">
        <v>10</v>
      </c>
      <c r="C52" t="s">
        <v>11</v>
      </c>
      <c r="D52" t="s">
        <v>12</v>
      </c>
      <c r="E52" t="s">
        <v>9</v>
      </c>
      <c r="G52" t="s">
        <v>1</v>
      </c>
      <c r="H52" t="s">
        <v>10</v>
      </c>
      <c r="I52" t="s">
        <v>11</v>
      </c>
      <c r="J52" t="s">
        <v>12</v>
      </c>
      <c r="K52" t="s">
        <v>9</v>
      </c>
      <c r="M52" t="s">
        <v>1</v>
      </c>
      <c r="N52" t="s">
        <v>10</v>
      </c>
      <c r="O52" t="s">
        <v>11</v>
      </c>
      <c r="P52" t="s">
        <v>12</v>
      </c>
      <c r="Q52" t="s">
        <v>9</v>
      </c>
      <c r="S52" t="s">
        <v>1</v>
      </c>
      <c r="T52" t="s">
        <v>10</v>
      </c>
      <c r="U52" t="s">
        <v>11</v>
      </c>
      <c r="V52" t="s">
        <v>12</v>
      </c>
      <c r="W52" t="s">
        <v>9</v>
      </c>
      <c r="Y52" t="s">
        <v>1</v>
      </c>
      <c r="Z52" t="s">
        <v>10</v>
      </c>
      <c r="AA52" t="s">
        <v>11</v>
      </c>
      <c r="AB52" t="s">
        <v>12</v>
      </c>
      <c r="AC52" t="s">
        <v>9</v>
      </c>
    </row>
    <row r="53" spans="1:29" x14ac:dyDescent="0.25">
      <c r="A53">
        <v>35</v>
      </c>
      <c r="B53">
        <v>-8</v>
      </c>
      <c r="C53">
        <v>62</v>
      </c>
      <c r="D53">
        <v>-38.797699999999999</v>
      </c>
      <c r="E53">
        <f t="shared" ref="E53:E56" si="48">D53-D$5</f>
        <v>0.44230000000000302</v>
      </c>
      <c r="G53">
        <v>45</v>
      </c>
      <c r="H53">
        <v>-9</v>
      </c>
      <c r="I53">
        <v>62</v>
      </c>
      <c r="J53">
        <v>-28.930299999999999</v>
      </c>
      <c r="K53">
        <f t="shared" ref="K53:K56" si="49">J53-J$5</f>
        <v>0.4997000000000007</v>
      </c>
      <c r="M53">
        <v>55</v>
      </c>
      <c r="N53">
        <v>-10</v>
      </c>
      <c r="O53">
        <v>62</v>
      </c>
      <c r="P53">
        <v>-19.11</v>
      </c>
      <c r="Q53">
        <f t="shared" ref="Q53:Q56" si="50">P53-P$5</f>
        <v>0.51000000000000156</v>
      </c>
      <c r="S53">
        <v>65</v>
      </c>
      <c r="T53">
        <v>-11</v>
      </c>
      <c r="U53">
        <v>62</v>
      </c>
      <c r="V53">
        <v>-9.3475699999999993</v>
      </c>
      <c r="W53">
        <f t="shared" ref="W53:W56" si="51">V53-V$5</f>
        <v>0.46243000000000123</v>
      </c>
      <c r="Y53">
        <v>75</v>
      </c>
      <c r="Z53">
        <v>-12</v>
      </c>
      <c r="AA53">
        <v>62</v>
      </c>
      <c r="AB53">
        <v>0.36327500000000001</v>
      </c>
      <c r="AC53">
        <f t="shared" ref="AC53:AC56" si="52">AB53-AB$5</f>
        <v>0.3632749999988576</v>
      </c>
    </row>
    <row r="54" spans="1:29" x14ac:dyDescent="0.25">
      <c r="A54">
        <v>35</v>
      </c>
      <c r="B54">
        <v>-8</v>
      </c>
      <c r="C54">
        <v>63</v>
      </c>
      <c r="D54">
        <v>-38.815300000000001</v>
      </c>
      <c r="E54">
        <f t="shared" si="48"/>
        <v>0.42470000000000141</v>
      </c>
      <c r="G54">
        <v>45</v>
      </c>
      <c r="H54">
        <v>-9</v>
      </c>
      <c r="I54">
        <v>63</v>
      </c>
      <c r="J54">
        <v>-28.950700000000001</v>
      </c>
      <c r="K54">
        <f t="shared" si="49"/>
        <v>0.47929999999999851</v>
      </c>
      <c r="M54">
        <v>55</v>
      </c>
      <c r="N54">
        <v>-10</v>
      </c>
      <c r="O54">
        <v>63</v>
      </c>
      <c r="P54">
        <v>-19.1312</v>
      </c>
      <c r="Q54">
        <f t="shared" si="50"/>
        <v>0.48880000000000123</v>
      </c>
      <c r="S54">
        <v>65</v>
      </c>
      <c r="T54">
        <v>-11</v>
      </c>
      <c r="U54">
        <v>63</v>
      </c>
      <c r="V54">
        <v>-9.3669799999999999</v>
      </c>
      <c r="W54">
        <f t="shared" si="51"/>
        <v>0.44302000000000064</v>
      </c>
      <c r="Y54">
        <v>75</v>
      </c>
      <c r="Z54">
        <v>-12</v>
      </c>
      <c r="AA54">
        <v>63</v>
      </c>
      <c r="AB54">
        <v>0.34793000000000002</v>
      </c>
      <c r="AC54">
        <f t="shared" si="52"/>
        <v>0.3479299999988576</v>
      </c>
    </row>
    <row r="55" spans="1:29" x14ac:dyDescent="0.25">
      <c r="A55">
        <v>35</v>
      </c>
      <c r="B55">
        <v>-8</v>
      </c>
      <c r="C55">
        <v>64</v>
      </c>
      <c r="D55">
        <v>-38.831899999999997</v>
      </c>
      <c r="E55">
        <f t="shared" si="48"/>
        <v>0.40810000000000457</v>
      </c>
      <c r="G55">
        <v>45</v>
      </c>
      <c r="H55">
        <v>-9</v>
      </c>
      <c r="I55">
        <v>64</v>
      </c>
      <c r="J55">
        <v>-28.969799999999999</v>
      </c>
      <c r="K55">
        <f t="shared" si="49"/>
        <v>0.46020000000000039</v>
      </c>
      <c r="M55">
        <v>55</v>
      </c>
      <c r="N55">
        <v>-10</v>
      </c>
      <c r="O55">
        <v>64</v>
      </c>
      <c r="P55">
        <v>-19.1511</v>
      </c>
      <c r="Q55">
        <f t="shared" si="50"/>
        <v>0.46890000000000143</v>
      </c>
      <c r="S55">
        <v>65</v>
      </c>
      <c r="T55">
        <v>-11</v>
      </c>
      <c r="U55">
        <v>64</v>
      </c>
      <c r="V55">
        <v>-9.3852399999999996</v>
      </c>
      <c r="W55">
        <f t="shared" si="51"/>
        <v>0.42476000000000091</v>
      </c>
      <c r="Y55">
        <v>75</v>
      </c>
      <c r="Z55">
        <v>-12</v>
      </c>
      <c r="AA55">
        <v>64</v>
      </c>
      <c r="AB55">
        <v>0.33348899999999998</v>
      </c>
      <c r="AC55">
        <f t="shared" si="52"/>
        <v>0.33348899999885756</v>
      </c>
    </row>
    <row r="56" spans="1:29" x14ac:dyDescent="0.25">
      <c r="A56">
        <v>35</v>
      </c>
      <c r="B56">
        <v>-8</v>
      </c>
      <c r="C56">
        <v>65</v>
      </c>
      <c r="D56">
        <v>-38.847700000000003</v>
      </c>
      <c r="E56">
        <f t="shared" si="48"/>
        <v>0.39229999999999876</v>
      </c>
      <c r="G56">
        <v>45</v>
      </c>
      <c r="H56">
        <v>-9</v>
      </c>
      <c r="I56">
        <v>65</v>
      </c>
      <c r="J56">
        <v>-28.988</v>
      </c>
      <c r="K56">
        <f t="shared" si="49"/>
        <v>0.44200000000000017</v>
      </c>
      <c r="M56">
        <v>55</v>
      </c>
      <c r="N56">
        <v>-10</v>
      </c>
      <c r="O56">
        <v>65</v>
      </c>
      <c r="P56">
        <v>-19.169899999999998</v>
      </c>
      <c r="Q56">
        <f t="shared" si="50"/>
        <v>0.45010000000000261</v>
      </c>
      <c r="S56">
        <v>65</v>
      </c>
      <c r="T56">
        <v>-11</v>
      </c>
      <c r="U56">
        <v>65</v>
      </c>
      <c r="V56">
        <v>-9.4025300000000005</v>
      </c>
      <c r="W56">
        <f t="shared" si="51"/>
        <v>0.40747</v>
      </c>
      <c r="Y56">
        <v>75</v>
      </c>
      <c r="Z56">
        <v>-12</v>
      </c>
      <c r="AA56">
        <v>65</v>
      </c>
      <c r="AB56">
        <v>0.31980900000000001</v>
      </c>
      <c r="AC56">
        <f t="shared" si="52"/>
        <v>0.31980899999885759</v>
      </c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AB93C-E53E-4265-B15B-68A5B0DD42C6}">
  <dimension ref="A1:C1"/>
  <sheetViews>
    <sheetView workbookViewId="0">
      <selection activeCell="N23" sqref="N23"/>
    </sheetView>
  </sheetViews>
  <sheetFormatPr defaultRowHeight="15" x14ac:dyDescent="0.25"/>
  <sheetData>
    <row r="1" spans="1:3" x14ac:dyDescent="0.25">
      <c r="A1" s="1"/>
      <c r="B1" s="1"/>
      <c r="C1" s="2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 Data</vt:lpstr>
      <vt:lpstr>Chart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Wai</dc:creator>
  <cp:lastModifiedBy>Daniel Wai</cp:lastModifiedBy>
  <dcterms:created xsi:type="dcterms:W3CDTF">2024-03-04T16:09:54Z</dcterms:created>
  <dcterms:modified xsi:type="dcterms:W3CDTF">2024-03-12T15:41:46Z</dcterms:modified>
</cp:coreProperties>
</file>